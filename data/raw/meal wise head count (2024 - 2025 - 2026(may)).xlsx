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LENOVO\Desktop\Ayush\"/>
    </mc:Choice>
  </mc:AlternateContent>
  <xr:revisionPtr revIDLastSave="0" documentId="13_ncr:1_{31C34C19-25F9-4D95-A029-E80D7A14D30E}" xr6:coauthVersionLast="47" xr6:coauthVersionMax="47" xr10:uidLastSave="{00000000-0000-0000-0000-000000000000}"/>
  <bookViews>
    <workbookView xWindow="-120" yWindow="-120" windowWidth="20730" windowHeight="11040" firstSheet="19" activeTab="2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28" l="1"/>
  <c r="D34" i="28"/>
  <c r="C34" i="28"/>
  <c r="B34" i="28"/>
  <c r="E34" i="27" l="1"/>
  <c r="D34" i="27"/>
  <c r="C34" i="27"/>
  <c r="B34" i="27"/>
  <c r="E34" i="26" l="1"/>
  <c r="D34" i="26"/>
  <c r="C34" i="26"/>
  <c r="B34" i="26"/>
  <c r="E32" i="25" l="1"/>
  <c r="D32" i="25"/>
  <c r="C32" i="25"/>
  <c r="B32" i="25"/>
  <c r="E34" i="24" l="1"/>
  <c r="D34" i="24"/>
  <c r="C34" i="24"/>
  <c r="B34" i="24"/>
  <c r="E34" i="23" l="1"/>
  <c r="C34" i="23"/>
  <c r="B34" i="23"/>
  <c r="D25" i="23"/>
  <c r="D34" i="23" s="1"/>
  <c r="E34" i="22" l="1"/>
  <c r="D34" i="22"/>
  <c r="C34" i="22"/>
  <c r="B34" i="22"/>
  <c r="F35" i="21" l="1"/>
  <c r="E35" i="21"/>
  <c r="D35" i="21"/>
  <c r="C35" i="21"/>
  <c r="O34" i="21"/>
  <c r="O33" i="21"/>
  <c r="O32" i="21"/>
  <c r="O31" i="21"/>
  <c r="O30" i="21"/>
  <c r="F35" i="20" l="1"/>
  <c r="E35" i="20"/>
  <c r="D35" i="20"/>
  <c r="C35" i="20"/>
  <c r="E34" i="19" l="1"/>
  <c r="D34" i="19"/>
  <c r="C34" i="19"/>
  <c r="B34" i="19"/>
  <c r="E34" i="18" l="1"/>
  <c r="D34" i="18"/>
  <c r="C34" i="18"/>
  <c r="B34" i="18"/>
  <c r="E32" i="17" l="1"/>
  <c r="B32" i="17"/>
  <c r="B34" i="17" s="1"/>
  <c r="E31" i="17"/>
  <c r="E34" i="17" s="1"/>
  <c r="D31" i="17"/>
  <c r="D34" i="17" s="1"/>
  <c r="C31" i="17"/>
  <c r="C34" i="17" s="1"/>
  <c r="F35" i="16" l="1"/>
  <c r="E35" i="16"/>
  <c r="D35" i="16"/>
  <c r="C35" i="16"/>
  <c r="L26" i="16"/>
  <c r="L25" i="16"/>
  <c r="F35" i="15" l="1"/>
  <c r="E35" i="15"/>
  <c r="D35" i="15"/>
  <c r="C35" i="15"/>
  <c r="E34" i="14" l="1"/>
  <c r="D34" i="14"/>
  <c r="C34" i="14"/>
  <c r="B8" i="14"/>
  <c r="B34" i="14" s="1"/>
  <c r="F35" i="13" l="1"/>
  <c r="E35" i="13"/>
  <c r="D35" i="13"/>
  <c r="C35" i="13"/>
  <c r="F35" i="12" l="1"/>
  <c r="E35" i="12"/>
  <c r="D35" i="12"/>
  <c r="C35" i="12"/>
  <c r="K9" i="12"/>
  <c r="F35" i="11" l="1"/>
  <c r="E35" i="11"/>
  <c r="D35" i="11"/>
  <c r="C35" i="11"/>
  <c r="F35" i="10" l="1"/>
  <c r="E35" i="10"/>
  <c r="D35" i="10"/>
  <c r="C35" i="10"/>
  <c r="F35" i="9" l="1"/>
  <c r="E35" i="9"/>
  <c r="D35" i="9"/>
  <c r="C35" i="9"/>
  <c r="L26" i="9"/>
  <c r="L24" i="9"/>
  <c r="F35" i="8" l="1"/>
  <c r="E35" i="8"/>
  <c r="D35" i="8"/>
  <c r="C35" i="8"/>
  <c r="F35" i="7" l="1"/>
  <c r="E35" i="7"/>
  <c r="D35" i="7"/>
  <c r="C35" i="7"/>
  <c r="F38" i="6" l="1"/>
  <c r="E38" i="6"/>
  <c r="D38" i="6"/>
  <c r="C38" i="6"/>
  <c r="K33" i="6"/>
  <c r="L11" i="6"/>
  <c r="L10" i="6"/>
  <c r="L13" i="6" s="1"/>
  <c r="N9" i="6"/>
  <c r="F35" i="5" l="1"/>
  <c r="E35" i="5"/>
  <c r="D35" i="5"/>
  <c r="C35" i="5"/>
  <c r="F35" i="4" l="1"/>
  <c r="E35" i="4"/>
  <c r="D35" i="4"/>
  <c r="C35" i="4"/>
  <c r="E34" i="3" l="1"/>
  <c r="D34" i="3"/>
  <c r="C34" i="3"/>
  <c r="B34" i="3"/>
  <c r="F35" i="2" l="1"/>
  <c r="E35" i="2"/>
  <c r="D35" i="2"/>
  <c r="C35" i="2"/>
  <c r="F35" i="1" l="1"/>
  <c r="E35" i="1"/>
  <c r="D35" i="1"/>
  <c r="C35" i="1"/>
  <c r="J32" i="1"/>
  <c r="L29" i="1"/>
  <c r="L32" i="1" s="1"/>
  <c r="J29" i="1"/>
  <c r="L28" i="1"/>
  <c r="J28" i="1"/>
  <c r="N32" i="1" l="1"/>
</calcChain>
</file>

<file path=xl/sharedStrings.xml><?xml version="1.0" encoding="utf-8"?>
<sst xmlns="http://schemas.openxmlformats.org/spreadsheetml/2006/main" count="1049" uniqueCount="871">
  <si>
    <t>Date</t>
  </si>
  <si>
    <t>Break Fast</t>
  </si>
  <si>
    <t>Lunch</t>
  </si>
  <si>
    <t>Even. Snacks</t>
  </si>
  <si>
    <t>Dinner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</si>
  <si>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</si>
  <si>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</si>
  <si>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</si>
  <si>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</si>
  <si>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</si>
  <si>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</si>
  <si>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</si>
  <si>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</si>
  <si>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</si>
  <si>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</si>
  <si>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</si>
  <si>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</si>
  <si>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</si>
  <si>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</si>
  <si>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</si>
  <si>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</si>
  <si>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</si>
  <si>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</si>
  <si>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</si>
  <si>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</si>
  <si>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</si>
  <si>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</si>
  <si>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</si>
  <si>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</si>
  <si>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</si>
  <si>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</si>
  <si>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</si>
  <si>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</si>
  <si>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</si>
  <si>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</si>
  <si>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</si>
  <si>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Total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</si>
  <si>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</si>
  <si>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</si>
  <si>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</si>
  <si>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</si>
  <si>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</si>
  <si>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</si>
  <si>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</si>
  <si>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</si>
  <si>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</si>
  <si>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</si>
  <si>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</si>
  <si>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</si>
  <si>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</si>
  <si>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</si>
  <si>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</si>
  <si>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</si>
  <si>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</si>
  <si>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</si>
  <si>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</si>
  <si>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</si>
  <si>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</si>
  <si>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</si>
  <si>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</si>
  <si>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</si>
  <si>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</si>
  <si>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</si>
  <si>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</si>
  <si>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</si>
  <si>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</si>
  <si>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</si>
  <si>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</si>
  <si>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</si>
  <si>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</si>
  <si>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</si>
  <si>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</si>
  <si>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</si>
  <si>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</si>
  <si>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</si>
  <si>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</si>
  <si>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</si>
  <si>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</si>
  <si>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</si>
  <si>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</si>
  <si>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</si>
  <si>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</si>
  <si>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</si>
  <si>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</si>
  <si>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</si>
  <si>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</si>
  <si>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</si>
  <si>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</si>
  <si>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</si>
  <si>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</si>
  <si>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</si>
  <si>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</si>
  <si>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</si>
  <si>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</si>
  <si>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</si>
  <si>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</si>
  <si>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</si>
  <si>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</si>
  <si>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</si>
  <si>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</si>
  <si>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</si>
  <si>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</si>
  <si>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</si>
  <si>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</si>
  <si>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</si>
  <si>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</si>
  <si>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</si>
  <si>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</si>
  <si>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</si>
  <si>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</si>
  <si>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</si>
  <si>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</si>
  <si>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</si>
  <si>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</si>
  <si>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</si>
  <si>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</si>
  <si>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</si>
  <si>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</si>
  <si>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</si>
  <si>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</si>
  <si>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</si>
  <si>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</si>
  <si>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</si>
  <si>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</si>
  <si>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</si>
  <si>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</si>
  <si>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</si>
  <si>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</si>
  <si>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</si>
  <si>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</si>
  <si>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</si>
  <si>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</si>
  <si>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</si>
  <si>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</si>
  <si>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</si>
  <si>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</si>
  <si>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</si>
  <si>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</si>
  <si>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</si>
  <si>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</si>
  <si>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</si>
  <si>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</si>
  <si>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</si>
  <si>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</si>
  <si>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</si>
  <si>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</si>
  <si>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</si>
  <si>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</si>
  <si>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</si>
  <si>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</si>
  <si>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</si>
  <si>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</si>
  <si>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</si>
  <si>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</si>
  <si>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</si>
  <si>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</si>
  <si>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</si>
  <si>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`</t>
  </si>
  <si>
    <t>31.05.2024</t>
  </si>
  <si>
    <t>01.07.2024</t>
  </si>
  <si>
    <t>02.07.2024</t>
  </si>
  <si>
    <t>03.07.2024</t>
  </si>
  <si>
    <t>04.07.2024</t>
  </si>
  <si>
    <t>R&amp;D Block</t>
  </si>
  <si>
    <t>Rate</t>
  </si>
  <si>
    <t>Tea/Coffee</t>
  </si>
  <si>
    <t>05.07.2024</t>
  </si>
  <si>
    <t>Samosa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</si>
  <si>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</si>
  <si>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</si>
  <si>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</si>
  <si>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</si>
  <si>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</si>
  <si>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</si>
  <si>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</si>
  <si>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</si>
  <si>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</si>
  <si>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</si>
  <si>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</si>
  <si>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</si>
  <si>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</si>
  <si>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</si>
  <si>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</si>
  <si>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</si>
  <si>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</si>
  <si>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</si>
  <si>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</si>
  <si>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</si>
  <si>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</si>
  <si>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Pax</t>
  </si>
  <si>
    <t>27.07.2024</t>
  </si>
  <si>
    <t>28.07.2024</t>
  </si>
  <si>
    <t>29.07.2024</t>
  </si>
  <si>
    <t>30.07.2024</t>
  </si>
  <si>
    <t>31.07.2024</t>
  </si>
  <si>
    <t>June Closed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</si>
  <si>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</si>
  <si>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</si>
  <si>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</si>
  <si>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</si>
  <si>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</si>
  <si>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</si>
  <si>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</si>
  <si>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</si>
  <si>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</si>
  <si>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</si>
  <si>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</si>
  <si>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</si>
  <si>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</si>
  <si>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</si>
  <si>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</si>
  <si>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</si>
  <si>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</si>
  <si>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</si>
  <si>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</si>
  <si>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</si>
  <si>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</si>
  <si>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</si>
  <si>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</si>
  <si>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</si>
  <si>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</si>
  <si>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</si>
  <si>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</si>
  <si>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</si>
  <si>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</si>
  <si>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</si>
  <si>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</si>
  <si>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</si>
  <si>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</si>
  <si>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</si>
  <si>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</si>
  <si>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</si>
  <si>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</si>
  <si>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</si>
  <si>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</si>
  <si>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</si>
  <si>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</si>
  <si>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</si>
  <si>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</si>
  <si>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</si>
  <si>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</si>
  <si>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</si>
  <si>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</si>
  <si>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</si>
  <si>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</si>
  <si>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</si>
  <si>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</si>
  <si>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</si>
  <si>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</si>
  <si>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</si>
  <si>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</si>
  <si>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</si>
  <si>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</si>
  <si>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</si>
  <si>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</si>
  <si>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</si>
  <si>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</si>
  <si>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</si>
  <si>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</si>
  <si>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</si>
  <si>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</si>
  <si>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</si>
  <si>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</si>
  <si>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</si>
  <si>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</si>
  <si>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</si>
  <si>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</si>
  <si>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</si>
  <si>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</si>
  <si>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</si>
  <si>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</si>
  <si>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</si>
  <si>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</si>
  <si>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</si>
  <si>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</si>
  <si>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</si>
  <si>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</si>
  <si>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</si>
  <si>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19.10.24</t>
  </si>
  <si>
    <t>22.10.2024</t>
  </si>
  <si>
    <t>Dinner H/Keeping</t>
  </si>
  <si>
    <t>Amt.</t>
  </si>
  <si>
    <t>23.10.2024</t>
  </si>
  <si>
    <t>25.10.24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</si>
  <si>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</si>
  <si>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</si>
  <si>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</si>
  <si>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</si>
  <si>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</si>
  <si>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</si>
  <si>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</si>
  <si>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</si>
  <si>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</si>
  <si>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</si>
  <si>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</si>
  <si>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</si>
  <si>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</si>
  <si>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</si>
  <si>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</si>
  <si>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</si>
  <si>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</si>
  <si>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</si>
  <si>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</si>
  <si>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</si>
  <si>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</si>
  <si>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</si>
  <si>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</si>
  <si>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</si>
  <si>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</si>
  <si>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</si>
  <si>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</si>
  <si>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</si>
  <si>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</si>
  <si>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</si>
  <si>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</si>
  <si>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</si>
  <si>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</si>
  <si>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</si>
  <si>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</si>
  <si>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</si>
  <si>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</si>
  <si>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</si>
  <si>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</si>
  <si>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</si>
  <si>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</si>
  <si>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</si>
  <si>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</si>
  <si>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</si>
  <si>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</si>
  <si>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</si>
  <si>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</si>
  <si>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</si>
  <si>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</si>
  <si>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</si>
  <si>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</si>
  <si>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</si>
  <si>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</si>
  <si>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</si>
  <si>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</si>
  <si>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</si>
  <si>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</si>
  <si>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</si>
  <si>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</si>
  <si>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</si>
  <si>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</si>
  <si>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</si>
  <si>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</si>
  <si>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</si>
  <si>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</si>
  <si>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</si>
  <si>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</si>
  <si>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</si>
  <si>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</si>
  <si>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Close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</si>
  <si>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</si>
  <si>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</si>
  <si>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</si>
  <si>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</si>
  <si>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</si>
  <si>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</si>
  <si>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</si>
  <si>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</si>
  <si>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</si>
  <si>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</si>
  <si>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</si>
  <si>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</si>
  <si>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</si>
  <si>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</si>
  <si>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</si>
  <si>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</si>
  <si>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</si>
  <si>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</si>
  <si>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</si>
  <si>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</si>
  <si>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</si>
  <si>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</si>
  <si>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</si>
  <si>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</si>
  <si>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</si>
  <si>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</si>
  <si>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</si>
  <si>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</si>
  <si>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</si>
  <si>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</si>
  <si>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</si>
  <si>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</si>
  <si>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</si>
  <si>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</si>
  <si>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</si>
  <si>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</si>
  <si>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</si>
  <si>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</si>
  <si>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</si>
  <si>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</si>
  <si>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</si>
  <si>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</si>
  <si>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</si>
  <si>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</si>
  <si>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</si>
  <si>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</si>
  <si>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</si>
  <si>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</si>
  <si>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</si>
  <si>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</si>
  <si>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</si>
  <si>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</si>
  <si>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</si>
  <si>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</si>
  <si>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</si>
  <si>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</si>
  <si>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</si>
  <si>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</si>
  <si>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</si>
  <si>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</si>
  <si>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</si>
  <si>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</si>
  <si>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</si>
  <si>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</si>
  <si>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</si>
  <si>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</si>
  <si>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</si>
  <si>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</si>
  <si>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</si>
  <si>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</si>
  <si>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</si>
  <si>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</si>
  <si>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</si>
  <si>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</si>
  <si>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</si>
  <si>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</si>
  <si>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</si>
  <si>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</si>
  <si>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</si>
  <si>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</si>
  <si>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</si>
  <si>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</si>
  <si>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</si>
  <si>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</si>
  <si>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</si>
  <si>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</si>
  <si>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</si>
  <si>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</si>
  <si>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</si>
  <si>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</si>
  <si>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</si>
  <si>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</si>
  <si>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</si>
  <si>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</si>
  <si>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</si>
  <si>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</si>
  <si>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</si>
  <si>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</si>
  <si>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</si>
  <si>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</si>
  <si>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</si>
  <si>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</si>
  <si>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</si>
  <si>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</si>
  <si>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</si>
  <si>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</si>
  <si>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</si>
  <si>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</si>
  <si>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</si>
  <si>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</si>
  <si>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</si>
  <si>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</si>
  <si>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</si>
  <si>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</si>
  <si>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</si>
  <si>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</si>
  <si>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</si>
  <si>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</si>
  <si>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</si>
  <si>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</si>
  <si>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</si>
  <si>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</si>
  <si>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</si>
  <si>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</si>
  <si>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</si>
  <si>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</si>
  <si>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</si>
  <si>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</si>
  <si>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</si>
  <si>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</si>
  <si>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</si>
  <si>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</si>
  <si>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</si>
  <si>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</si>
  <si>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</si>
  <si>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</si>
  <si>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</si>
  <si>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</si>
  <si>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</si>
  <si>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</si>
  <si>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</si>
  <si>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</si>
  <si>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</si>
  <si>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</si>
  <si>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</si>
  <si>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</si>
  <si>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</si>
  <si>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</si>
  <si>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</si>
  <si>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</si>
  <si>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</si>
  <si>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</si>
  <si>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</si>
  <si>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</si>
  <si>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</si>
  <si>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</si>
  <si>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</si>
  <si>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</si>
  <si>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</si>
  <si>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</si>
  <si>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</si>
  <si>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</si>
  <si>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</si>
  <si>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</si>
  <si>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</si>
  <si>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</si>
  <si>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</si>
  <si>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</si>
  <si>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</si>
  <si>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</si>
  <si>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</si>
  <si>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</si>
  <si>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</si>
  <si>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</si>
  <si>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</si>
  <si>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</si>
  <si>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</si>
  <si>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</si>
  <si>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</si>
  <si>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</si>
  <si>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</si>
  <si>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</si>
  <si>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</si>
  <si>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</si>
  <si>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</si>
  <si>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</si>
  <si>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</si>
  <si>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</si>
  <si>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</si>
  <si>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</si>
  <si>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</si>
  <si>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</si>
  <si>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</si>
  <si>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</si>
  <si>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</si>
  <si>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</si>
  <si>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</si>
  <si>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</si>
  <si>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</si>
  <si>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</si>
  <si>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</si>
  <si>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</si>
  <si>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</si>
  <si>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</si>
  <si>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</si>
  <si>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</si>
  <si>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</si>
  <si>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</si>
  <si>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</si>
  <si>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</si>
  <si>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</si>
  <si>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</si>
  <si>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</si>
  <si>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</si>
  <si>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</si>
  <si>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</si>
  <si>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</si>
  <si>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</si>
  <si>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</si>
  <si>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</si>
  <si>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</si>
  <si>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</si>
  <si>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</si>
  <si>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</si>
  <si>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</si>
  <si>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</si>
  <si>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</si>
  <si>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</si>
  <si>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</si>
  <si>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</si>
  <si>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</si>
  <si>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</si>
  <si>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</si>
  <si>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</si>
  <si>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</si>
  <si>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</si>
  <si>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</si>
  <si>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</si>
  <si>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</si>
  <si>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</si>
  <si>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</si>
  <si>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</si>
  <si>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</si>
  <si>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</si>
  <si>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</si>
  <si>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</si>
  <si>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</si>
  <si>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</si>
  <si>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</si>
  <si>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</si>
  <si>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</si>
  <si>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</si>
  <si>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</si>
  <si>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</si>
  <si>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</si>
  <si>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</si>
  <si>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</si>
  <si>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</si>
  <si>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</si>
  <si>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</si>
  <si>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</si>
  <si>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</si>
  <si>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</si>
  <si>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</si>
  <si>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</si>
  <si>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</si>
  <si>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</si>
  <si>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</si>
  <si>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</si>
  <si>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</si>
  <si>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</si>
  <si>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</si>
  <si>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</si>
  <si>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</si>
  <si>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</si>
  <si>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</si>
  <si>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</si>
  <si>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</si>
  <si>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</si>
  <si>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</si>
  <si>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</si>
  <si>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</si>
  <si>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</si>
  <si>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</si>
  <si>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</si>
  <si>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</si>
  <si>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</si>
  <si>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</si>
  <si>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</si>
  <si>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</si>
  <si>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</si>
  <si>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</si>
  <si>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</si>
  <si>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</si>
  <si>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</si>
  <si>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</si>
  <si>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</si>
  <si>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</si>
  <si>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Tinku FMS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</si>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</sst>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0" fillId="2" borderId="0" xfId="0" applyFill="1"/>
    <xf numFmtId="43" fontId="0" fillId="0" borderId="0" xfId="1" applyFont="1"/>
    <xf numFmtId="43" fontId="0" fillId="0" borderId="0" xfId="0" applyNumberFormat="1"/>
    <xf numFmtId="17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3" fontId="0" fillId="0" borderId="0" xfId="1" applyFont="1" applyFill="1" applyBorder="1" applyAlignment="1">
      <alignment horizontal="left"/>
    </xf>
    <xf numFmtId="17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textRotation="45"/>
    </xf>
    <xf numFmtId="0" fontId="5" fillId="2" borderId="4" xfId="0" applyFont="1" applyFill="1" applyBorder="1" applyAlignment="1">
      <alignment horizontal="center" vertical="center" textRotation="45"/>
    </xf>
    <xf numFmtId="0" fontId="5" fillId="2" borderId="5" xfId="0" applyFont="1" applyFill="1" applyBorder="1" applyAlignment="1">
      <alignment horizontal="center" vertical="center" textRotation="45"/>
    </xf>
    <xf numFmtId="0" fontId="5" fillId="2" borderId="2" xfId="0" applyFont="1" applyFill="1" applyBorder="1" applyAlignment="1">
      <alignment horizontal="center" vertical="center" textRotation="45"/>
    </xf>
    <xf numFmtId="0" fontId="5" fillId="2" borderId="0" xfId="0" applyFont="1" applyFill="1" applyAlignment="1">
      <alignment horizontal="center" vertical="center" textRotation="45"/>
    </xf>
    <xf numFmtId="0" fontId="5" fillId="2" borderId="6" xfId="0" applyFont="1" applyFill="1" applyBorder="1" applyAlignment="1">
      <alignment horizontal="center" vertical="center" textRotation="45"/>
    </xf>
    <xf numFmtId="0" fontId="5" fillId="2" borderId="7" xfId="0" applyFont="1" applyFill="1" applyBorder="1" applyAlignment="1">
      <alignment horizontal="center" vertical="center" textRotation="45"/>
    </xf>
    <xf numFmtId="0" fontId="5" fillId="2" borderId="8" xfId="0" applyFont="1" applyFill="1" applyBorder="1" applyAlignment="1">
      <alignment horizontal="center" vertical="center" textRotation="45"/>
    </xf>
    <xf numFmtId="0" fontId="5" fillId="2" borderId="9" xfId="0" applyFont="1" applyFill="1" applyBorder="1" applyAlignment="1">
      <alignment horizontal="center" vertical="center" textRotation="45"/>
    </xf>
    <xf numFmtId="0" fontId="2" fillId="3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NumberFormat="1" applyFont="1"/>
    <xf numFmtId="0" fontId="0" fillId="3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5"/>
  <sheetViews>
    <sheetView workbookViewId="0">
      <selection activeCell="C14" sqref="C14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  <col min="10" max="10" width="10.42578125" bestFit="1" customWidth="1"/>
  </cols>
  <sheetData>
    <row r="2" spans="2:6" x14ac:dyDescent="0.25">
      <c r="B2" s="21">
        <v>45292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5</v>
      </c>
      <c r="C4" s="3">
        <v>14</v>
      </c>
      <c r="D4" s="3">
        <v>40</v>
      </c>
      <c r="E4" s="3">
        <v>4</v>
      </c>
      <c r="F4" s="3">
        <v>20</v>
      </c>
    </row>
    <row r="5" spans="2:6" x14ac:dyDescent="0.25">
      <c r="B5" s="2" t="s">
        <v>6</v>
      </c>
      <c r="C5" s="3">
        <v>13</v>
      </c>
      <c r="D5" s="3">
        <v>52</v>
      </c>
      <c r="E5" s="3">
        <v>12</v>
      </c>
      <c r="F5" s="3">
        <v>32</v>
      </c>
    </row>
    <row r="6" spans="2:6" x14ac:dyDescent="0.25">
      <c r="B6" s="2" t="s">
        <v>7</v>
      </c>
      <c r="C6" s="3">
        <v>26</v>
      </c>
      <c r="D6" s="3">
        <v>87</v>
      </c>
      <c r="E6" s="3">
        <v>26</v>
      </c>
      <c r="F6" s="3">
        <v>86</v>
      </c>
    </row>
    <row r="7" spans="2:6" x14ac:dyDescent="0.25">
      <c r="B7" s="2" t="s">
        <v>8</v>
      </c>
      <c r="C7" s="3">
        <v>27</v>
      </c>
      <c r="D7" s="3">
        <v>98</v>
      </c>
      <c r="E7" s="3">
        <v>27</v>
      </c>
      <c r="F7" s="3">
        <v>60</v>
      </c>
    </row>
    <row r="8" spans="2:6" x14ac:dyDescent="0.25">
      <c r="B8" s="2" t="s">
        <v>9</v>
      </c>
      <c r="C8" s="3">
        <v>20</v>
      </c>
      <c r="D8" s="3">
        <v>135</v>
      </c>
      <c r="E8" s="3">
        <v>11</v>
      </c>
      <c r="F8" s="3">
        <v>61</v>
      </c>
    </row>
    <row r="9" spans="2:6" x14ac:dyDescent="0.25">
      <c r="B9" s="2" t="s">
        <v>10</v>
      </c>
      <c r="C9" s="3">
        <v>34</v>
      </c>
      <c r="D9" s="3">
        <v>99</v>
      </c>
      <c r="E9" s="3">
        <v>39</v>
      </c>
      <c r="F9" s="3">
        <v>64</v>
      </c>
    </row>
    <row r="10" spans="2:6" x14ac:dyDescent="0.25">
      <c r="B10" s="2" t="s">
        <v>11</v>
      </c>
      <c r="C10" s="3">
        <v>32</v>
      </c>
      <c r="D10" s="3">
        <v>70</v>
      </c>
      <c r="E10" s="3">
        <v>28</v>
      </c>
      <c r="F10" s="3">
        <v>208</v>
      </c>
    </row>
    <row r="11" spans="2:6" x14ac:dyDescent="0.25">
      <c r="B11" s="2" t="s">
        <v>12</v>
      </c>
      <c r="C11" s="3">
        <v>160</v>
      </c>
      <c r="D11" s="3">
        <v>450</v>
      </c>
      <c r="E11" s="3">
        <v>137</v>
      </c>
      <c r="F11" s="3">
        <v>330</v>
      </c>
    </row>
    <row r="12" spans="2:6" x14ac:dyDescent="0.25">
      <c r="B12" s="2" t="s">
        <v>13</v>
      </c>
      <c r="C12" s="3">
        <v>195</v>
      </c>
      <c r="D12" s="3">
        <v>422</v>
      </c>
      <c r="E12" s="3">
        <v>226</v>
      </c>
      <c r="F12" s="3">
        <v>350</v>
      </c>
    </row>
    <row r="13" spans="2:6" x14ac:dyDescent="0.25">
      <c r="B13" s="2" t="s">
        <v>14</v>
      </c>
      <c r="C13" s="3">
        <v>194</v>
      </c>
      <c r="D13" s="3">
        <v>556</v>
      </c>
      <c r="E13" s="3">
        <v>198</v>
      </c>
      <c r="F13" s="3">
        <v>470</v>
      </c>
    </row>
    <row r="14" spans="2:6" x14ac:dyDescent="0.25">
      <c r="B14" s="2" t="s">
        <v>15</v>
      </c>
      <c r="C14" s="3">
        <v>174</v>
      </c>
      <c r="D14" s="3">
        <v>408</v>
      </c>
      <c r="E14" s="3">
        <v>260</v>
      </c>
      <c r="F14" s="3">
        <v>250</v>
      </c>
    </row>
    <row r="15" spans="2:6" x14ac:dyDescent="0.25">
      <c r="B15" s="2" t="s">
        <v>16</v>
      </c>
      <c r="C15" s="3">
        <v>166</v>
      </c>
      <c r="D15" s="3">
        <v>410</v>
      </c>
      <c r="E15" s="3">
        <v>60</v>
      </c>
      <c r="F15" s="3">
        <v>220</v>
      </c>
    </row>
    <row r="16" spans="2:6" x14ac:dyDescent="0.25">
      <c r="B16" s="2" t="s">
        <v>17</v>
      </c>
      <c r="C16" s="3">
        <v>76</v>
      </c>
      <c r="D16" s="3">
        <v>286</v>
      </c>
      <c r="E16" s="3">
        <v>98</v>
      </c>
      <c r="F16" s="3">
        <v>125</v>
      </c>
    </row>
    <row r="17" spans="2:14" x14ac:dyDescent="0.25">
      <c r="B17" s="2" t="s">
        <v>18</v>
      </c>
      <c r="C17" s="3">
        <v>48</v>
      </c>
      <c r="D17" s="3">
        <v>136</v>
      </c>
      <c r="E17" s="3">
        <v>50</v>
      </c>
      <c r="F17" s="3">
        <v>290</v>
      </c>
    </row>
    <row r="18" spans="2:14" x14ac:dyDescent="0.25">
      <c r="B18" s="2" t="s">
        <v>19</v>
      </c>
      <c r="C18" s="3">
        <v>143</v>
      </c>
      <c r="D18" s="3">
        <v>484</v>
      </c>
      <c r="E18" s="3">
        <v>178</v>
      </c>
      <c r="F18" s="3">
        <v>292</v>
      </c>
    </row>
    <row r="19" spans="2:14" x14ac:dyDescent="0.25">
      <c r="B19" s="2" t="s">
        <v>20</v>
      </c>
      <c r="C19" s="3">
        <v>246</v>
      </c>
      <c r="D19" s="3">
        <v>416</v>
      </c>
      <c r="E19" s="3">
        <v>235</v>
      </c>
      <c r="F19" s="3">
        <v>320</v>
      </c>
    </row>
    <row r="20" spans="2:14" x14ac:dyDescent="0.25">
      <c r="B20" s="2" t="s">
        <v>21</v>
      </c>
      <c r="C20" s="3">
        <v>200</v>
      </c>
      <c r="D20" s="3">
        <v>516</v>
      </c>
      <c r="E20" s="3">
        <v>163</v>
      </c>
      <c r="F20" s="3">
        <v>430</v>
      </c>
    </row>
    <row r="21" spans="2:14" x14ac:dyDescent="0.25">
      <c r="B21" s="2" t="s">
        <v>22</v>
      </c>
      <c r="C21" s="3">
        <v>153</v>
      </c>
      <c r="D21" s="3">
        <v>375</v>
      </c>
      <c r="E21" s="3">
        <v>241</v>
      </c>
      <c r="F21" s="3">
        <v>192</v>
      </c>
    </row>
    <row r="22" spans="2:14" x14ac:dyDescent="0.25">
      <c r="B22" s="2" t="s">
        <v>23</v>
      </c>
      <c r="C22" s="3">
        <v>119</v>
      </c>
      <c r="D22" s="3">
        <v>226</v>
      </c>
      <c r="E22" s="3">
        <v>40</v>
      </c>
      <c r="F22" s="3">
        <v>80</v>
      </c>
    </row>
    <row r="23" spans="2:14" x14ac:dyDescent="0.25">
      <c r="B23" s="2" t="s">
        <v>24</v>
      </c>
      <c r="C23" s="3">
        <v>80</v>
      </c>
      <c r="D23" s="3">
        <v>312</v>
      </c>
      <c r="E23" s="3">
        <v>78</v>
      </c>
      <c r="F23" s="3">
        <v>18</v>
      </c>
      <c r="H23" s="4"/>
    </row>
    <row r="24" spans="2:14" x14ac:dyDescent="0.25">
      <c r="B24" s="2" t="s">
        <v>25</v>
      </c>
      <c r="C24" s="3">
        <v>39</v>
      </c>
      <c r="D24" s="3">
        <v>165</v>
      </c>
      <c r="E24" s="3">
        <v>65</v>
      </c>
      <c r="F24" s="3">
        <v>290</v>
      </c>
      <c r="H24" s="5"/>
    </row>
    <row r="25" spans="2:14" x14ac:dyDescent="0.25">
      <c r="B25" s="2" t="s">
        <v>26</v>
      </c>
      <c r="C25" s="3">
        <v>102</v>
      </c>
      <c r="D25" s="3">
        <v>348</v>
      </c>
      <c r="E25" s="3">
        <v>120</v>
      </c>
      <c r="F25" s="3">
        <v>327</v>
      </c>
    </row>
    <row r="26" spans="2:14" x14ac:dyDescent="0.25">
      <c r="B26" s="2" t="s">
        <v>27</v>
      </c>
      <c r="C26" s="3">
        <v>150</v>
      </c>
      <c r="D26" s="3">
        <v>391</v>
      </c>
      <c r="E26" s="3">
        <v>202</v>
      </c>
      <c r="F26" s="3">
        <v>328</v>
      </c>
    </row>
    <row r="27" spans="2:14" x14ac:dyDescent="0.25">
      <c r="B27" s="2" t="s">
        <v>28</v>
      </c>
      <c r="C27" s="3">
        <v>183</v>
      </c>
      <c r="D27" s="3">
        <v>472</v>
      </c>
      <c r="E27" s="3">
        <v>160</v>
      </c>
      <c r="F27" s="3">
        <v>433</v>
      </c>
    </row>
    <row r="28" spans="2:14" x14ac:dyDescent="0.25">
      <c r="B28" s="2" t="s">
        <v>29</v>
      </c>
      <c r="C28" s="3">
        <v>144</v>
      </c>
      <c r="D28" s="3">
        <v>315</v>
      </c>
      <c r="E28" s="3">
        <v>181</v>
      </c>
      <c r="F28" s="3">
        <v>120</v>
      </c>
      <c r="J28">
        <f>12000+17600+1160+2000+1965+17500+4000+1120+8000+2500+65000+250000+1060+330+6000+410+4000+6000+11000+1200</f>
        <v>412845</v>
      </c>
      <c r="L28">
        <f>3640+315+70+150+2300+1680+9000+65000+250000</f>
        <v>332155</v>
      </c>
    </row>
    <row r="29" spans="2:14" x14ac:dyDescent="0.25">
      <c r="B29" s="2" t="s">
        <v>30</v>
      </c>
      <c r="C29" s="3">
        <v>60</v>
      </c>
      <c r="D29" s="3">
        <v>315</v>
      </c>
      <c r="E29" s="3">
        <v>41</v>
      </c>
      <c r="F29" s="3">
        <v>130</v>
      </c>
      <c r="J29">
        <f>6000+905+1695+790+1120+2300+630+750+720+1280</f>
        <v>16190</v>
      </c>
      <c r="L29">
        <f>680+9000+2500+550+900+65+9000+20</f>
        <v>22715</v>
      </c>
    </row>
    <row r="30" spans="2:14" x14ac:dyDescent="0.25">
      <c r="B30" s="2" t="s">
        <v>31</v>
      </c>
      <c r="C30" s="3">
        <v>63</v>
      </c>
      <c r="D30" s="3">
        <v>173</v>
      </c>
      <c r="E30" s="3">
        <v>64</v>
      </c>
      <c r="F30" s="3">
        <v>105</v>
      </c>
    </row>
    <row r="31" spans="2:14" x14ac:dyDescent="0.25">
      <c r="B31" s="2" t="s">
        <v>32</v>
      </c>
      <c r="C31" s="3">
        <v>44</v>
      </c>
      <c r="D31" s="3">
        <v>92</v>
      </c>
      <c r="E31" s="3">
        <v>57</v>
      </c>
      <c r="F31" s="3">
        <v>272</v>
      </c>
    </row>
    <row r="32" spans="2:14" x14ac:dyDescent="0.25">
      <c r="B32" s="2" t="s">
        <v>33</v>
      </c>
      <c r="C32" s="3">
        <v>152</v>
      </c>
      <c r="D32" s="3">
        <v>368</v>
      </c>
      <c r="E32" s="3">
        <v>130</v>
      </c>
      <c r="F32" s="3">
        <v>300</v>
      </c>
      <c r="J32">
        <f>SUM(J28:J31)</f>
        <v>429035</v>
      </c>
      <c r="L32">
        <f>SUM(L28:L31)</f>
        <v>354870</v>
      </c>
      <c r="N32">
        <f>+J32-L32</f>
        <v>74165</v>
      </c>
    </row>
    <row r="33" spans="2:8" x14ac:dyDescent="0.25">
      <c r="B33" s="2" t="s">
        <v>34</v>
      </c>
      <c r="C33" s="3">
        <v>225</v>
      </c>
      <c r="D33" s="3">
        <v>380</v>
      </c>
      <c r="E33" s="3">
        <v>233</v>
      </c>
      <c r="F33" s="3">
        <v>261</v>
      </c>
    </row>
    <row r="34" spans="2:8" x14ac:dyDescent="0.25">
      <c r="B34" s="2" t="s">
        <v>35</v>
      </c>
      <c r="C34" s="3">
        <v>196</v>
      </c>
      <c r="D34" s="3">
        <v>435</v>
      </c>
      <c r="E34" s="3">
        <v>165</v>
      </c>
      <c r="F34" s="3">
        <v>420</v>
      </c>
    </row>
    <row r="35" spans="2:8" x14ac:dyDescent="0.25">
      <c r="B35" s="1" t="s">
        <v>36</v>
      </c>
      <c r="C35" s="1">
        <f>SUM(C9:C34)</f>
        <v>3378</v>
      </c>
      <c r="D35" s="1">
        <f>SUM(D9:D34)</f>
        <v>8620</v>
      </c>
      <c r="E35" s="1">
        <f>SUM(E9:E34)</f>
        <v>3449</v>
      </c>
      <c r="F35" s="1">
        <f>SUM(F9:F34)</f>
        <v>6625</v>
      </c>
      <c r="H35" s="6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8A6C-4105-4B0F-8113-903ADD6131B1}">
  <dimension ref="B2:F35"/>
  <sheetViews>
    <sheetView workbookViewId="0">
      <selection activeCell="H15" sqref="H15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6" x14ac:dyDescent="0.25">
      <c r="B2" s="21">
        <v>45323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37</v>
      </c>
      <c r="C4" s="3">
        <v>97</v>
      </c>
      <c r="D4" s="3">
        <v>312</v>
      </c>
      <c r="E4" s="3">
        <v>190</v>
      </c>
      <c r="F4" s="3">
        <v>241</v>
      </c>
    </row>
    <row r="5" spans="2:6" x14ac:dyDescent="0.25">
      <c r="B5" s="2" t="s">
        <v>38</v>
      </c>
      <c r="C5" s="3">
        <v>150</v>
      </c>
      <c r="D5" s="3">
        <v>370</v>
      </c>
      <c r="E5" s="3">
        <v>93</v>
      </c>
      <c r="F5" s="3">
        <v>200</v>
      </c>
    </row>
    <row r="6" spans="2:6" x14ac:dyDescent="0.25">
      <c r="B6" s="2" t="s">
        <v>39</v>
      </c>
      <c r="C6" s="3">
        <v>91</v>
      </c>
      <c r="D6" s="3">
        <v>293</v>
      </c>
      <c r="E6" s="3">
        <v>103</v>
      </c>
      <c r="F6" s="3">
        <v>170</v>
      </c>
    </row>
    <row r="7" spans="2:6" x14ac:dyDescent="0.25">
      <c r="B7" s="2" t="s">
        <v>40</v>
      </c>
      <c r="C7" s="3">
        <v>65</v>
      </c>
      <c r="D7" s="3">
        <v>150</v>
      </c>
      <c r="E7" s="3">
        <v>51</v>
      </c>
      <c r="F7" s="3">
        <v>323</v>
      </c>
    </row>
    <row r="8" spans="2:6" x14ac:dyDescent="0.25">
      <c r="B8" s="2" t="s">
        <v>41</v>
      </c>
      <c r="C8" s="3">
        <v>154</v>
      </c>
      <c r="D8" s="3">
        <v>475</v>
      </c>
      <c r="E8" s="3">
        <v>157</v>
      </c>
      <c r="F8" s="3">
        <v>330</v>
      </c>
    </row>
    <row r="9" spans="2:6" x14ac:dyDescent="0.25">
      <c r="B9" s="2" t="s">
        <v>42</v>
      </c>
      <c r="C9" s="3">
        <v>142</v>
      </c>
      <c r="D9" s="3">
        <v>458</v>
      </c>
      <c r="E9" s="3">
        <v>172</v>
      </c>
      <c r="F9" s="3">
        <v>250</v>
      </c>
    </row>
    <row r="10" spans="2:6" x14ac:dyDescent="0.25">
      <c r="B10" s="2" t="s">
        <v>43</v>
      </c>
      <c r="C10" s="3">
        <v>218</v>
      </c>
      <c r="D10" s="3">
        <v>505</v>
      </c>
      <c r="E10" s="3">
        <v>152</v>
      </c>
      <c r="F10" s="3">
        <v>486</v>
      </c>
    </row>
    <row r="11" spans="2:6" x14ac:dyDescent="0.25">
      <c r="B11" s="2" t="s">
        <v>44</v>
      </c>
      <c r="C11" s="3">
        <v>192</v>
      </c>
      <c r="D11" s="3">
        <v>397</v>
      </c>
      <c r="E11" s="3">
        <v>285</v>
      </c>
      <c r="F11" s="3">
        <v>376</v>
      </c>
    </row>
    <row r="12" spans="2:6" x14ac:dyDescent="0.25">
      <c r="B12" s="2" t="s">
        <v>45</v>
      </c>
      <c r="C12" s="3">
        <v>195</v>
      </c>
      <c r="D12" s="3">
        <v>406</v>
      </c>
      <c r="E12" s="3">
        <v>151</v>
      </c>
      <c r="F12" s="3">
        <v>267</v>
      </c>
    </row>
    <row r="13" spans="2:6" x14ac:dyDescent="0.25">
      <c r="B13" s="2" t="s">
        <v>46</v>
      </c>
      <c r="C13" s="3">
        <v>116</v>
      </c>
      <c r="D13" s="3">
        <v>352</v>
      </c>
      <c r="E13" s="3">
        <v>105</v>
      </c>
      <c r="F13" s="3">
        <v>135</v>
      </c>
    </row>
    <row r="14" spans="2:6" x14ac:dyDescent="0.25">
      <c r="B14" s="2" t="s">
        <v>47</v>
      </c>
      <c r="C14" s="3">
        <v>86</v>
      </c>
      <c r="D14" s="3">
        <v>171</v>
      </c>
      <c r="E14" s="3">
        <v>106</v>
      </c>
      <c r="F14" s="3">
        <v>301</v>
      </c>
    </row>
    <row r="15" spans="2:6" x14ac:dyDescent="0.25">
      <c r="B15" s="2" t="s">
        <v>48</v>
      </c>
      <c r="C15" s="3">
        <v>181</v>
      </c>
      <c r="D15" s="3">
        <v>443</v>
      </c>
      <c r="E15" s="3">
        <v>153</v>
      </c>
      <c r="F15" s="3">
        <v>325</v>
      </c>
    </row>
    <row r="16" spans="2:6" x14ac:dyDescent="0.25">
      <c r="B16" s="2" t="s">
        <v>49</v>
      </c>
      <c r="C16" s="3">
        <v>243</v>
      </c>
      <c r="D16" s="3">
        <v>405</v>
      </c>
      <c r="E16" s="3">
        <v>172</v>
      </c>
      <c r="F16" s="3">
        <v>285</v>
      </c>
    </row>
    <row r="17" spans="2:6" x14ac:dyDescent="0.25">
      <c r="B17" s="2" t="s">
        <v>50</v>
      </c>
      <c r="C17" s="3">
        <v>226</v>
      </c>
      <c r="D17" s="3">
        <v>480</v>
      </c>
      <c r="E17" s="3">
        <v>162</v>
      </c>
      <c r="F17" s="3">
        <v>427</v>
      </c>
    </row>
    <row r="18" spans="2:6" x14ac:dyDescent="0.25">
      <c r="B18" s="2" t="s">
        <v>51</v>
      </c>
      <c r="C18" s="3">
        <v>165</v>
      </c>
      <c r="D18" s="3">
        <v>353</v>
      </c>
      <c r="E18" s="3">
        <v>227</v>
      </c>
      <c r="F18" s="3">
        <v>287</v>
      </c>
    </row>
    <row r="19" spans="2:6" x14ac:dyDescent="0.25">
      <c r="B19" s="2" t="s">
        <v>52</v>
      </c>
      <c r="C19" s="3">
        <v>175</v>
      </c>
      <c r="D19" s="3">
        <v>370</v>
      </c>
      <c r="E19" s="3">
        <v>161</v>
      </c>
      <c r="F19" s="3">
        <v>240</v>
      </c>
    </row>
    <row r="20" spans="2:6" x14ac:dyDescent="0.25">
      <c r="B20" s="2" t="s">
        <v>53</v>
      </c>
      <c r="C20" s="3">
        <v>105</v>
      </c>
      <c r="D20" s="3">
        <v>337</v>
      </c>
      <c r="E20" s="3">
        <v>130</v>
      </c>
      <c r="F20" s="3">
        <v>135</v>
      </c>
    </row>
    <row r="21" spans="2:6" x14ac:dyDescent="0.25">
      <c r="B21" s="2" t="s">
        <v>54</v>
      </c>
      <c r="C21" s="3">
        <v>78</v>
      </c>
      <c r="D21" s="3">
        <v>161</v>
      </c>
      <c r="E21" s="3">
        <v>92</v>
      </c>
      <c r="F21" s="3">
        <v>339</v>
      </c>
    </row>
    <row r="22" spans="2:6" x14ac:dyDescent="0.25">
      <c r="B22" s="2" t="s">
        <v>55</v>
      </c>
      <c r="C22" s="3">
        <v>195</v>
      </c>
      <c r="D22" s="3">
        <v>409</v>
      </c>
      <c r="E22" s="3">
        <v>148</v>
      </c>
      <c r="F22" s="3">
        <v>318</v>
      </c>
    </row>
    <row r="23" spans="2:6" x14ac:dyDescent="0.25">
      <c r="B23" s="2" t="s">
        <v>56</v>
      </c>
      <c r="C23" s="3">
        <v>250</v>
      </c>
      <c r="D23" s="3">
        <v>428</v>
      </c>
      <c r="E23" s="3">
        <v>136</v>
      </c>
      <c r="F23" s="3">
        <v>265</v>
      </c>
    </row>
    <row r="24" spans="2:6" x14ac:dyDescent="0.25">
      <c r="B24" s="2" t="s">
        <v>57</v>
      </c>
      <c r="C24" s="3">
        <v>234</v>
      </c>
      <c r="D24" s="3">
        <v>481</v>
      </c>
      <c r="E24" s="3">
        <v>190</v>
      </c>
      <c r="F24" s="3">
        <v>438</v>
      </c>
    </row>
    <row r="25" spans="2:6" x14ac:dyDescent="0.25">
      <c r="B25" s="2" t="s">
        <v>58</v>
      </c>
      <c r="C25" s="3">
        <v>180</v>
      </c>
      <c r="D25" s="3">
        <v>354</v>
      </c>
      <c r="E25" s="3">
        <v>287</v>
      </c>
      <c r="F25" s="3">
        <v>370</v>
      </c>
    </row>
    <row r="26" spans="2:6" x14ac:dyDescent="0.25">
      <c r="B26" s="2" t="s">
        <v>59</v>
      </c>
      <c r="C26" s="3">
        <v>212</v>
      </c>
      <c r="D26" s="3">
        <v>424</v>
      </c>
      <c r="E26" s="3">
        <v>170</v>
      </c>
      <c r="F26" s="3">
        <v>313</v>
      </c>
    </row>
    <row r="27" spans="2:6" x14ac:dyDescent="0.25">
      <c r="B27" s="2" t="s">
        <v>60</v>
      </c>
      <c r="C27" s="3">
        <v>167</v>
      </c>
      <c r="D27" s="3">
        <v>426</v>
      </c>
      <c r="E27" s="3">
        <v>237</v>
      </c>
      <c r="F27" s="3">
        <v>202</v>
      </c>
    </row>
    <row r="28" spans="2:6" x14ac:dyDescent="0.25">
      <c r="B28" s="2" t="s">
        <v>61</v>
      </c>
      <c r="C28" s="3">
        <v>140</v>
      </c>
      <c r="D28" s="3">
        <v>160</v>
      </c>
      <c r="E28" s="3">
        <v>146</v>
      </c>
      <c r="F28" s="3">
        <v>450</v>
      </c>
    </row>
    <row r="29" spans="2:6" x14ac:dyDescent="0.25">
      <c r="B29" s="2" t="s">
        <v>62</v>
      </c>
      <c r="C29" s="3">
        <v>192</v>
      </c>
      <c r="D29" s="3">
        <v>358</v>
      </c>
      <c r="E29" s="3">
        <v>126</v>
      </c>
      <c r="F29" s="3">
        <v>290</v>
      </c>
    </row>
    <row r="30" spans="2:6" x14ac:dyDescent="0.25">
      <c r="B30" s="2" t="s">
        <v>63</v>
      </c>
      <c r="C30" s="3">
        <v>190</v>
      </c>
      <c r="D30" s="3">
        <v>312</v>
      </c>
      <c r="E30" s="3">
        <v>99</v>
      </c>
      <c r="F30" s="3">
        <v>204</v>
      </c>
    </row>
    <row r="31" spans="2:6" x14ac:dyDescent="0.25">
      <c r="B31" s="2" t="s">
        <v>64</v>
      </c>
      <c r="C31" s="3">
        <v>195</v>
      </c>
      <c r="D31" s="3">
        <v>399</v>
      </c>
      <c r="E31" s="3">
        <v>135</v>
      </c>
      <c r="F31" s="3">
        <v>375</v>
      </c>
    </row>
    <row r="32" spans="2:6" x14ac:dyDescent="0.25">
      <c r="B32" s="2" t="s">
        <v>65</v>
      </c>
      <c r="C32" s="3">
        <v>170</v>
      </c>
      <c r="D32" s="3">
        <v>231</v>
      </c>
      <c r="E32" s="3">
        <v>214</v>
      </c>
      <c r="F32" s="3">
        <v>295</v>
      </c>
    </row>
    <row r="33" spans="2:6" x14ac:dyDescent="0.25">
      <c r="B33" s="2"/>
      <c r="C33" s="3"/>
      <c r="D33" s="3"/>
      <c r="E33" s="3"/>
      <c r="F33" s="3"/>
    </row>
    <row r="34" spans="2:6" x14ac:dyDescent="0.25">
      <c r="B34" s="2"/>
      <c r="C34" s="3"/>
      <c r="D34" s="3"/>
      <c r="E34" s="3"/>
      <c r="F34" s="3"/>
    </row>
    <row r="35" spans="2:6" x14ac:dyDescent="0.25">
      <c r="B35" s="1" t="s">
        <v>36</v>
      </c>
      <c r="C35" s="1">
        <f>SUM(C9:C34)</f>
        <v>4247</v>
      </c>
      <c r="D35" s="1">
        <f>SUM(D9:D34)</f>
        <v>8820</v>
      </c>
      <c r="E35" s="1">
        <f>SUM(E9:E34)</f>
        <v>3956</v>
      </c>
      <c r="F35" s="1">
        <f>SUM(F9:F34)</f>
        <v>7373</v>
      </c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3ACB-A993-4672-A055-15DBB85EC9D0}">
  <dimension ref="A1:E34"/>
  <sheetViews>
    <sheetView workbookViewId="0">
      <selection activeCell="J11" sqref="J11"/>
    </sheetView>
  </sheetViews>
  <sheetFormatPr defaultRowHeight="15" x14ac:dyDescent="0.25"/>
  <cols>
    <col min="1" max="1" width="10.140625" bestFit="1" customWidth="1"/>
    <col min="2" max="2" width="10" bestFit="1" customWidth="1"/>
    <col min="3" max="3" width="6.140625" bestFit="1" customWidth="1"/>
    <col min="4" max="4" width="12.140625" bestFit="1" customWidth="1"/>
    <col min="5" max="5" width="7" bestFit="1" customWidth="1"/>
  </cols>
  <sheetData>
    <row r="1" spans="1:5" x14ac:dyDescent="0.25">
      <c r="A1" s="21">
        <v>45352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66</v>
      </c>
      <c r="B3" s="3">
        <v>80</v>
      </c>
      <c r="C3" s="3">
        <v>205</v>
      </c>
      <c r="D3" s="3">
        <v>46</v>
      </c>
      <c r="E3" s="3">
        <v>137</v>
      </c>
    </row>
    <row r="4" spans="1:5" x14ac:dyDescent="0.25">
      <c r="A4" s="2" t="s">
        <v>67</v>
      </c>
      <c r="B4" s="3">
        <v>95</v>
      </c>
      <c r="C4" s="3">
        <v>284</v>
      </c>
      <c r="D4" s="3">
        <v>73</v>
      </c>
      <c r="E4" s="3">
        <v>95</v>
      </c>
    </row>
    <row r="5" spans="1:5" x14ac:dyDescent="0.25">
      <c r="A5" s="2" t="s">
        <v>68</v>
      </c>
      <c r="B5" s="3">
        <v>60</v>
      </c>
      <c r="C5" s="3">
        <v>73</v>
      </c>
      <c r="D5" s="3">
        <v>21</v>
      </c>
      <c r="E5" s="3">
        <v>93</v>
      </c>
    </row>
    <row r="6" spans="1:5" x14ac:dyDescent="0.25">
      <c r="A6" s="2" t="s">
        <v>69</v>
      </c>
      <c r="B6" s="3">
        <v>67</v>
      </c>
      <c r="C6" s="3">
        <v>178</v>
      </c>
      <c r="D6" s="3">
        <v>26</v>
      </c>
      <c r="E6" s="3">
        <v>98</v>
      </c>
    </row>
    <row r="7" spans="1:5" x14ac:dyDescent="0.25">
      <c r="A7" s="2" t="s">
        <v>70</v>
      </c>
      <c r="B7" s="3">
        <v>70</v>
      </c>
      <c r="C7" s="3">
        <v>162</v>
      </c>
      <c r="D7" s="3">
        <v>28</v>
      </c>
      <c r="E7" s="3">
        <v>66</v>
      </c>
    </row>
    <row r="8" spans="1:5" x14ac:dyDescent="0.25">
      <c r="A8" s="2" t="s">
        <v>71</v>
      </c>
      <c r="B8" s="3">
        <v>63</v>
      </c>
      <c r="C8" s="3">
        <v>140</v>
      </c>
      <c r="D8" s="3">
        <v>42</v>
      </c>
      <c r="E8" s="3">
        <v>107</v>
      </c>
    </row>
    <row r="9" spans="1:5" x14ac:dyDescent="0.25">
      <c r="A9" s="2" t="s">
        <v>72</v>
      </c>
      <c r="B9" s="3">
        <v>63</v>
      </c>
      <c r="C9" s="3">
        <v>119</v>
      </c>
      <c r="D9" s="3">
        <v>54</v>
      </c>
      <c r="E9" s="3">
        <v>88</v>
      </c>
    </row>
    <row r="10" spans="1:5" x14ac:dyDescent="0.25">
      <c r="A10" s="2" t="s">
        <v>73</v>
      </c>
      <c r="B10" s="3">
        <v>40</v>
      </c>
      <c r="C10" s="3">
        <v>93</v>
      </c>
      <c r="D10" s="3">
        <v>36</v>
      </c>
      <c r="E10" s="3">
        <v>60</v>
      </c>
    </row>
    <row r="11" spans="1:5" x14ac:dyDescent="0.25">
      <c r="A11" s="2" t="s">
        <v>74</v>
      </c>
      <c r="B11" s="3">
        <v>51</v>
      </c>
      <c r="C11" s="3">
        <v>157</v>
      </c>
      <c r="D11" s="3">
        <v>53</v>
      </c>
      <c r="E11" s="3">
        <v>84</v>
      </c>
    </row>
    <row r="12" spans="1:5" x14ac:dyDescent="0.25">
      <c r="A12" s="2" t="s">
        <v>75</v>
      </c>
      <c r="B12" s="3">
        <v>45</v>
      </c>
      <c r="C12" s="3">
        <v>85</v>
      </c>
      <c r="D12" s="3">
        <v>42</v>
      </c>
      <c r="E12" s="3">
        <v>212</v>
      </c>
    </row>
    <row r="13" spans="1:5" x14ac:dyDescent="0.25">
      <c r="A13" s="2" t="s">
        <v>76</v>
      </c>
      <c r="B13" s="3">
        <v>130</v>
      </c>
      <c r="C13" s="3">
        <v>392</v>
      </c>
      <c r="D13" s="3">
        <v>123</v>
      </c>
      <c r="E13" s="3">
        <v>258</v>
      </c>
    </row>
    <row r="14" spans="1:5" x14ac:dyDescent="0.25">
      <c r="A14" s="2" t="s">
        <v>77</v>
      </c>
      <c r="B14" s="3">
        <v>197</v>
      </c>
      <c r="C14" s="3">
        <v>375</v>
      </c>
      <c r="D14" s="3">
        <v>105</v>
      </c>
      <c r="E14" s="3">
        <v>254</v>
      </c>
    </row>
    <row r="15" spans="1:5" x14ac:dyDescent="0.25">
      <c r="A15" s="2" t="s">
        <v>78</v>
      </c>
      <c r="B15" s="3">
        <v>192</v>
      </c>
      <c r="C15" s="3">
        <v>523</v>
      </c>
      <c r="D15" s="3">
        <v>135</v>
      </c>
      <c r="E15" s="3">
        <v>373</v>
      </c>
    </row>
    <row r="16" spans="1:5" x14ac:dyDescent="0.25">
      <c r="A16" s="2" t="s">
        <v>79</v>
      </c>
      <c r="B16" s="3">
        <v>160</v>
      </c>
      <c r="C16" s="3">
        <v>347</v>
      </c>
      <c r="D16" s="3">
        <v>169</v>
      </c>
      <c r="E16" s="3">
        <v>290</v>
      </c>
    </row>
    <row r="17" spans="1:5" x14ac:dyDescent="0.25">
      <c r="A17" s="2" t="s">
        <v>80</v>
      </c>
      <c r="B17" s="3">
        <v>157</v>
      </c>
      <c r="C17" s="3">
        <v>228</v>
      </c>
      <c r="D17" s="3">
        <v>68</v>
      </c>
      <c r="E17" s="3">
        <v>152</v>
      </c>
    </row>
    <row r="18" spans="1:5" x14ac:dyDescent="0.25">
      <c r="A18" s="2" t="s">
        <v>81</v>
      </c>
      <c r="B18" s="3">
        <v>95</v>
      </c>
      <c r="C18" s="3">
        <v>226</v>
      </c>
      <c r="D18" s="3">
        <v>59</v>
      </c>
      <c r="E18" s="3">
        <v>121</v>
      </c>
    </row>
    <row r="19" spans="1:5" x14ac:dyDescent="0.25">
      <c r="A19" s="2" t="s">
        <v>82</v>
      </c>
      <c r="B19" s="3">
        <v>77</v>
      </c>
      <c r="C19" s="3">
        <v>160</v>
      </c>
      <c r="D19" s="3">
        <v>65</v>
      </c>
      <c r="E19" s="3">
        <v>300</v>
      </c>
    </row>
    <row r="20" spans="1:5" x14ac:dyDescent="0.25">
      <c r="A20" s="2" t="s">
        <v>83</v>
      </c>
      <c r="B20" s="3">
        <v>160</v>
      </c>
      <c r="C20" s="3">
        <v>400</v>
      </c>
      <c r="D20" s="3">
        <v>115</v>
      </c>
      <c r="E20" s="3">
        <v>303</v>
      </c>
    </row>
    <row r="21" spans="1:5" x14ac:dyDescent="0.25">
      <c r="A21" s="2" t="s">
        <v>84</v>
      </c>
      <c r="B21" s="3">
        <v>236</v>
      </c>
      <c r="C21" s="3">
        <v>421</v>
      </c>
      <c r="D21" s="3">
        <v>105</v>
      </c>
      <c r="E21" s="3">
        <v>253</v>
      </c>
    </row>
    <row r="22" spans="1:5" x14ac:dyDescent="0.25">
      <c r="A22" s="2" t="s">
        <v>85</v>
      </c>
      <c r="B22" s="3">
        <v>212</v>
      </c>
      <c r="C22" s="3">
        <v>457</v>
      </c>
      <c r="D22" s="3">
        <v>121</v>
      </c>
      <c r="E22" s="3">
        <v>343</v>
      </c>
    </row>
    <row r="23" spans="1:5" x14ac:dyDescent="0.25">
      <c r="A23" s="2" t="s">
        <v>86</v>
      </c>
      <c r="B23" s="3">
        <v>183</v>
      </c>
      <c r="C23" s="3">
        <v>312</v>
      </c>
      <c r="D23" s="3">
        <v>157</v>
      </c>
      <c r="E23" s="3">
        <v>188</v>
      </c>
    </row>
    <row r="24" spans="1:5" x14ac:dyDescent="0.25">
      <c r="A24" s="2" t="s">
        <v>87</v>
      </c>
      <c r="B24" s="3">
        <v>106</v>
      </c>
      <c r="C24" s="3">
        <v>329</v>
      </c>
      <c r="D24" s="3">
        <v>52</v>
      </c>
      <c r="E24" s="3">
        <v>102</v>
      </c>
    </row>
    <row r="25" spans="1:5" x14ac:dyDescent="0.25">
      <c r="A25" s="2" t="s">
        <v>88</v>
      </c>
      <c r="B25" s="3">
        <v>67</v>
      </c>
      <c r="C25" s="3">
        <v>127</v>
      </c>
      <c r="D25" s="3">
        <v>36</v>
      </c>
      <c r="E25" s="3">
        <v>52</v>
      </c>
    </row>
    <row r="26" spans="1:5" x14ac:dyDescent="0.25">
      <c r="A26" s="2" t="s">
        <v>89</v>
      </c>
      <c r="B26" s="3">
        <v>41</v>
      </c>
      <c r="C26" s="3">
        <v>87</v>
      </c>
      <c r="D26" s="3">
        <v>22</v>
      </c>
      <c r="E26" s="3">
        <v>134</v>
      </c>
    </row>
    <row r="27" spans="1:5" x14ac:dyDescent="0.25">
      <c r="A27" s="2" t="s">
        <v>90</v>
      </c>
      <c r="B27" s="3">
        <v>63</v>
      </c>
      <c r="C27" s="3">
        <v>123</v>
      </c>
      <c r="D27" s="3">
        <v>30</v>
      </c>
      <c r="E27" s="3">
        <v>72</v>
      </c>
    </row>
    <row r="28" spans="1:5" x14ac:dyDescent="0.25">
      <c r="A28" s="2" t="s">
        <v>91</v>
      </c>
      <c r="B28" s="3">
        <v>98</v>
      </c>
      <c r="C28" s="3">
        <v>270</v>
      </c>
      <c r="D28" s="3">
        <v>87</v>
      </c>
      <c r="E28" s="3">
        <v>231</v>
      </c>
    </row>
    <row r="29" spans="1:5" x14ac:dyDescent="0.25">
      <c r="A29" s="2" t="s">
        <v>92</v>
      </c>
      <c r="B29" s="3">
        <v>210</v>
      </c>
      <c r="C29" s="3">
        <v>379</v>
      </c>
      <c r="D29" s="3">
        <v>147</v>
      </c>
      <c r="E29" s="3">
        <v>363</v>
      </c>
    </row>
    <row r="30" spans="1:5" x14ac:dyDescent="0.25">
      <c r="A30" s="2" t="s">
        <v>93</v>
      </c>
      <c r="B30" s="3">
        <v>140</v>
      </c>
      <c r="C30" s="3">
        <v>304</v>
      </c>
      <c r="D30" s="3">
        <v>183</v>
      </c>
      <c r="E30" s="3">
        <v>210</v>
      </c>
    </row>
    <row r="31" spans="1:5" x14ac:dyDescent="0.25">
      <c r="A31" s="2" t="s">
        <v>94</v>
      </c>
      <c r="B31" s="3">
        <v>130</v>
      </c>
      <c r="C31" s="3">
        <v>259</v>
      </c>
      <c r="D31" s="3">
        <v>70</v>
      </c>
      <c r="E31" s="3">
        <v>140</v>
      </c>
    </row>
    <row r="32" spans="1:5" x14ac:dyDescent="0.25">
      <c r="A32" s="2" t="s">
        <v>95</v>
      </c>
      <c r="B32" s="3">
        <v>106</v>
      </c>
      <c r="C32" s="3">
        <v>262</v>
      </c>
      <c r="D32" s="3">
        <v>72</v>
      </c>
      <c r="E32" s="3">
        <v>103</v>
      </c>
    </row>
    <row r="33" spans="1:5" x14ac:dyDescent="0.25">
      <c r="A33" s="2" t="s">
        <v>96</v>
      </c>
      <c r="B33" s="3">
        <v>57</v>
      </c>
      <c r="C33" s="3">
        <v>138</v>
      </c>
      <c r="D33" s="3">
        <v>60</v>
      </c>
      <c r="E33" s="3">
        <v>226</v>
      </c>
    </row>
    <row r="34" spans="1:5" x14ac:dyDescent="0.25">
      <c r="A34" s="1" t="s">
        <v>36</v>
      </c>
      <c r="B34" s="1">
        <f>SUM(B8:B33)</f>
        <v>3079</v>
      </c>
      <c r="C34" s="1">
        <f>SUM(C8:C33)</f>
        <v>6713</v>
      </c>
      <c r="D34" s="1">
        <f>SUM(D8:D33)</f>
        <v>2208</v>
      </c>
      <c r="E34" s="1">
        <f>SUM(E8:E33)</f>
        <v>5019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A8DD-9860-4CBA-94E3-12862B7CB31C}">
  <dimension ref="B2:I35"/>
  <sheetViews>
    <sheetView workbookViewId="0">
      <selection activeCell="E18" sqref="E18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9" x14ac:dyDescent="0.25">
      <c r="B2" s="21">
        <v>45383</v>
      </c>
      <c r="C2" s="21"/>
      <c r="D2" s="21"/>
      <c r="E2" s="21"/>
      <c r="F2" s="21"/>
    </row>
    <row r="3" spans="2:9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9" x14ac:dyDescent="0.25">
      <c r="B4" s="2" t="s">
        <v>97</v>
      </c>
      <c r="C4" s="3">
        <v>100</v>
      </c>
      <c r="D4" s="3">
        <v>315</v>
      </c>
      <c r="E4" s="3">
        <v>74</v>
      </c>
      <c r="F4" s="3">
        <v>240</v>
      </c>
    </row>
    <row r="5" spans="2:9" x14ac:dyDescent="0.25">
      <c r="B5" s="2" t="s">
        <v>98</v>
      </c>
      <c r="C5" s="3">
        <v>206</v>
      </c>
      <c r="D5" s="3">
        <v>324</v>
      </c>
      <c r="E5" s="3">
        <v>106</v>
      </c>
      <c r="F5" s="3">
        <v>300</v>
      </c>
    </row>
    <row r="6" spans="2:9" x14ac:dyDescent="0.25">
      <c r="B6" s="2" t="s">
        <v>99</v>
      </c>
      <c r="C6" s="3">
        <v>210</v>
      </c>
      <c r="D6" s="3">
        <v>440</v>
      </c>
      <c r="E6" s="3">
        <v>131</v>
      </c>
      <c r="F6" s="3">
        <v>363</v>
      </c>
    </row>
    <row r="7" spans="2:9" x14ac:dyDescent="0.25">
      <c r="B7" s="2" t="s">
        <v>100</v>
      </c>
      <c r="C7" s="3">
        <v>166</v>
      </c>
      <c r="D7" s="3">
        <v>291</v>
      </c>
      <c r="E7" s="3">
        <v>190</v>
      </c>
      <c r="F7" s="3">
        <v>226</v>
      </c>
    </row>
    <row r="8" spans="2:9" x14ac:dyDescent="0.25">
      <c r="B8" s="2" t="s">
        <v>101</v>
      </c>
      <c r="C8" s="3">
        <v>181</v>
      </c>
      <c r="D8" s="3">
        <v>348</v>
      </c>
      <c r="E8" s="3">
        <v>114</v>
      </c>
      <c r="F8" s="3">
        <v>280</v>
      </c>
    </row>
    <row r="9" spans="2:9" x14ac:dyDescent="0.25">
      <c r="B9" s="2" t="s">
        <v>102</v>
      </c>
      <c r="C9" s="3">
        <v>143</v>
      </c>
      <c r="D9" s="3">
        <v>321</v>
      </c>
      <c r="E9" s="3">
        <v>116</v>
      </c>
      <c r="F9" s="3">
        <v>140</v>
      </c>
    </row>
    <row r="10" spans="2:9" x14ac:dyDescent="0.25">
      <c r="B10" s="2" t="s">
        <v>103</v>
      </c>
      <c r="C10" s="3">
        <v>104</v>
      </c>
      <c r="D10" s="3">
        <v>170</v>
      </c>
      <c r="E10" s="3">
        <v>68</v>
      </c>
      <c r="F10" s="3">
        <v>300</v>
      </c>
    </row>
    <row r="11" spans="2:9" x14ac:dyDescent="0.25">
      <c r="B11" s="2" t="s">
        <v>104</v>
      </c>
      <c r="C11" s="3">
        <v>164</v>
      </c>
      <c r="D11" s="3">
        <v>332</v>
      </c>
      <c r="E11" s="3">
        <v>74</v>
      </c>
      <c r="F11" s="3">
        <v>245</v>
      </c>
    </row>
    <row r="12" spans="2:9" x14ac:dyDescent="0.25">
      <c r="B12" s="2" t="s">
        <v>105</v>
      </c>
      <c r="C12" s="3">
        <v>217</v>
      </c>
      <c r="D12" s="3">
        <v>296</v>
      </c>
      <c r="E12" s="3">
        <v>107</v>
      </c>
      <c r="F12" s="3">
        <v>250</v>
      </c>
    </row>
    <row r="13" spans="2:9" x14ac:dyDescent="0.25">
      <c r="B13" s="2" t="s">
        <v>106</v>
      </c>
      <c r="C13" s="3">
        <v>200</v>
      </c>
      <c r="D13" s="3">
        <v>436</v>
      </c>
      <c r="E13" s="3">
        <v>93</v>
      </c>
      <c r="F13" s="3">
        <v>275</v>
      </c>
    </row>
    <row r="14" spans="2:9" x14ac:dyDescent="0.25">
      <c r="B14" s="2" t="s">
        <v>107</v>
      </c>
      <c r="C14" s="3">
        <v>123</v>
      </c>
      <c r="D14" s="3">
        <v>256</v>
      </c>
      <c r="E14" s="3">
        <v>118</v>
      </c>
      <c r="F14" s="3">
        <v>177</v>
      </c>
    </row>
    <row r="15" spans="2:9" x14ac:dyDescent="0.25">
      <c r="B15" s="2" t="s">
        <v>108</v>
      </c>
      <c r="C15" s="3">
        <v>135</v>
      </c>
      <c r="D15" s="3">
        <v>310</v>
      </c>
      <c r="E15" s="3">
        <v>75</v>
      </c>
      <c r="F15" s="3">
        <v>207</v>
      </c>
      <c r="I15" s="7"/>
    </row>
    <row r="16" spans="2:9" x14ac:dyDescent="0.25">
      <c r="B16" s="2" t="s">
        <v>109</v>
      </c>
      <c r="C16" s="3">
        <v>95</v>
      </c>
      <c r="D16" s="3">
        <v>242</v>
      </c>
      <c r="E16" s="3">
        <v>65</v>
      </c>
      <c r="F16" s="3">
        <v>100</v>
      </c>
    </row>
    <row r="17" spans="2:6" x14ac:dyDescent="0.25">
      <c r="B17" s="2" t="s">
        <v>110</v>
      </c>
      <c r="C17" s="3">
        <v>63</v>
      </c>
      <c r="D17" s="3">
        <v>165</v>
      </c>
      <c r="E17" s="3">
        <v>55</v>
      </c>
      <c r="F17" s="3">
        <v>220</v>
      </c>
    </row>
    <row r="18" spans="2:6" x14ac:dyDescent="0.25">
      <c r="B18" s="2" t="s">
        <v>111</v>
      </c>
      <c r="C18" s="3">
        <v>125</v>
      </c>
      <c r="D18" s="3">
        <v>346</v>
      </c>
      <c r="E18" s="3">
        <v>118</v>
      </c>
      <c r="F18" s="3">
        <v>270</v>
      </c>
    </row>
    <row r="19" spans="2:6" x14ac:dyDescent="0.25">
      <c r="B19" s="2" t="s">
        <v>112</v>
      </c>
      <c r="C19" s="3">
        <v>208</v>
      </c>
      <c r="D19" s="3">
        <v>244</v>
      </c>
      <c r="E19" s="3">
        <v>115</v>
      </c>
      <c r="F19" s="3">
        <v>193</v>
      </c>
    </row>
    <row r="20" spans="2:6" x14ac:dyDescent="0.25">
      <c r="B20" s="2" t="s">
        <v>113</v>
      </c>
      <c r="C20" s="3">
        <v>143</v>
      </c>
      <c r="D20" s="3">
        <v>387</v>
      </c>
      <c r="E20" s="3">
        <v>92</v>
      </c>
      <c r="F20" s="3">
        <v>310</v>
      </c>
    </row>
    <row r="21" spans="2:6" x14ac:dyDescent="0.25">
      <c r="B21" s="2" t="s">
        <v>114</v>
      </c>
      <c r="C21" s="3">
        <v>147</v>
      </c>
      <c r="D21" s="3">
        <v>303</v>
      </c>
      <c r="E21" s="3">
        <v>170</v>
      </c>
      <c r="F21" s="3">
        <v>205</v>
      </c>
    </row>
    <row r="22" spans="2:6" x14ac:dyDescent="0.25">
      <c r="B22" s="2" t="s">
        <v>115</v>
      </c>
      <c r="C22" s="3">
        <v>147</v>
      </c>
      <c r="D22" s="3">
        <v>333</v>
      </c>
      <c r="E22" s="3">
        <v>75</v>
      </c>
      <c r="F22" s="3">
        <v>232</v>
      </c>
    </row>
    <row r="23" spans="2:6" x14ac:dyDescent="0.25">
      <c r="B23" s="2" t="s">
        <v>116</v>
      </c>
      <c r="C23" s="3">
        <v>102</v>
      </c>
      <c r="D23" s="3">
        <v>290</v>
      </c>
      <c r="E23" s="3">
        <v>83</v>
      </c>
      <c r="F23" s="3">
        <v>131</v>
      </c>
    </row>
    <row r="24" spans="2:6" x14ac:dyDescent="0.25">
      <c r="B24" s="2" t="s">
        <v>117</v>
      </c>
      <c r="C24" s="3">
        <v>77</v>
      </c>
      <c r="D24" s="3">
        <v>125</v>
      </c>
      <c r="E24" s="3">
        <v>52</v>
      </c>
      <c r="F24" s="3">
        <v>249</v>
      </c>
    </row>
    <row r="25" spans="2:6" x14ac:dyDescent="0.25">
      <c r="B25" s="2" t="s">
        <v>118</v>
      </c>
      <c r="C25" s="3">
        <v>132</v>
      </c>
      <c r="D25" s="3">
        <v>327</v>
      </c>
      <c r="E25" s="3">
        <v>87</v>
      </c>
      <c r="F25" s="3">
        <v>219</v>
      </c>
    </row>
    <row r="26" spans="2:6" x14ac:dyDescent="0.25">
      <c r="B26" s="2" t="s">
        <v>119</v>
      </c>
      <c r="C26" s="3">
        <v>159</v>
      </c>
      <c r="D26" s="3">
        <v>230</v>
      </c>
      <c r="E26" s="3">
        <v>89</v>
      </c>
      <c r="F26" s="3">
        <v>185</v>
      </c>
    </row>
    <row r="27" spans="2:6" x14ac:dyDescent="0.25">
      <c r="B27" s="2" t="s">
        <v>120</v>
      </c>
      <c r="C27" s="3">
        <v>169</v>
      </c>
      <c r="D27" s="3">
        <v>399</v>
      </c>
      <c r="E27" s="3">
        <v>134</v>
      </c>
      <c r="F27" s="3">
        <v>340</v>
      </c>
    </row>
    <row r="28" spans="2:6" x14ac:dyDescent="0.25">
      <c r="B28" s="2" t="s">
        <v>121</v>
      </c>
      <c r="C28" s="3">
        <v>147</v>
      </c>
      <c r="D28" s="3">
        <v>251</v>
      </c>
      <c r="E28" s="3">
        <v>159</v>
      </c>
      <c r="F28" s="3">
        <v>176</v>
      </c>
    </row>
    <row r="29" spans="2:6" x14ac:dyDescent="0.25">
      <c r="B29" s="2" t="s">
        <v>122</v>
      </c>
      <c r="C29" s="3">
        <v>140</v>
      </c>
      <c r="D29" s="3">
        <v>294</v>
      </c>
      <c r="E29" s="3">
        <v>72</v>
      </c>
      <c r="F29" s="3">
        <v>170</v>
      </c>
    </row>
    <row r="30" spans="2:6" x14ac:dyDescent="0.25">
      <c r="B30" s="2" t="s">
        <v>123</v>
      </c>
      <c r="C30" s="3">
        <v>100</v>
      </c>
      <c r="D30" s="3">
        <v>266</v>
      </c>
      <c r="E30" s="3">
        <v>93</v>
      </c>
      <c r="F30" s="3">
        <v>130</v>
      </c>
    </row>
    <row r="31" spans="2:6" x14ac:dyDescent="0.25">
      <c r="B31" s="2" t="s">
        <v>124</v>
      </c>
      <c r="C31" s="3">
        <v>65</v>
      </c>
      <c r="D31" s="3">
        <v>153</v>
      </c>
      <c r="E31" s="3">
        <v>72</v>
      </c>
      <c r="F31" s="3">
        <v>255</v>
      </c>
    </row>
    <row r="32" spans="2:6" x14ac:dyDescent="0.25">
      <c r="B32" s="2" t="s">
        <v>125</v>
      </c>
      <c r="C32" s="3">
        <v>142</v>
      </c>
      <c r="D32" s="3">
        <v>269</v>
      </c>
      <c r="E32" s="3">
        <v>103</v>
      </c>
      <c r="F32" s="3">
        <v>200</v>
      </c>
    </row>
    <row r="33" spans="2:6" x14ac:dyDescent="0.25">
      <c r="B33" s="2" t="s">
        <v>126</v>
      </c>
      <c r="C33" s="3">
        <v>138</v>
      </c>
      <c r="D33" s="3">
        <v>183</v>
      </c>
      <c r="E33" s="3">
        <v>93</v>
      </c>
      <c r="F33" s="3">
        <v>195</v>
      </c>
    </row>
    <row r="34" spans="2:6" x14ac:dyDescent="0.25">
      <c r="B34" s="2"/>
      <c r="C34" s="3"/>
      <c r="D34" s="3"/>
      <c r="E34" s="3"/>
      <c r="F34" s="3"/>
    </row>
    <row r="35" spans="2:6" x14ac:dyDescent="0.25">
      <c r="B35" s="1" t="s">
        <v>36</v>
      </c>
      <c r="C35" s="1">
        <f>SUM(C9:C34)</f>
        <v>3385</v>
      </c>
      <c r="D35" s="1">
        <f>SUM(D9:D34)</f>
        <v>6928</v>
      </c>
      <c r="E35" s="1">
        <f>SUM(E9:E34)</f>
        <v>2378</v>
      </c>
      <c r="F35" s="1">
        <f>SUM(F9:F34)</f>
        <v>5374</v>
      </c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E54B-08B5-4D45-B293-2C2F9DCDB27B}">
  <dimension ref="B2:O35"/>
  <sheetViews>
    <sheetView workbookViewId="0">
      <selection activeCell="H13" sqref="H13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9" x14ac:dyDescent="0.25">
      <c r="B2" s="21">
        <v>45413</v>
      </c>
      <c r="C2" s="21"/>
      <c r="D2" s="21"/>
      <c r="E2" s="21"/>
      <c r="F2" s="21"/>
    </row>
    <row r="3" spans="2:9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9" x14ac:dyDescent="0.25">
      <c r="B4" s="2" t="s">
        <v>127</v>
      </c>
      <c r="C4" s="3">
        <v>85</v>
      </c>
      <c r="D4" s="3">
        <v>238</v>
      </c>
      <c r="E4" s="3">
        <v>44</v>
      </c>
      <c r="F4" s="3">
        <v>178</v>
      </c>
    </row>
    <row r="5" spans="2:9" x14ac:dyDescent="0.25">
      <c r="B5" s="2" t="s">
        <v>128</v>
      </c>
      <c r="C5" s="3">
        <v>110</v>
      </c>
      <c r="D5" s="3">
        <v>171</v>
      </c>
      <c r="E5" s="3">
        <v>81</v>
      </c>
      <c r="F5" s="3">
        <v>125</v>
      </c>
    </row>
    <row r="6" spans="2:9" x14ac:dyDescent="0.25">
      <c r="B6" s="2" t="s">
        <v>129</v>
      </c>
      <c r="C6" s="3">
        <v>105</v>
      </c>
      <c r="D6" s="3">
        <v>226</v>
      </c>
      <c r="E6" s="3">
        <v>49</v>
      </c>
      <c r="F6" s="3">
        <v>187</v>
      </c>
    </row>
    <row r="7" spans="2:9" x14ac:dyDescent="0.25">
      <c r="B7" s="2" t="s">
        <v>130</v>
      </c>
      <c r="C7" s="3">
        <v>103</v>
      </c>
      <c r="D7" s="3">
        <v>211</v>
      </c>
      <c r="E7" s="3">
        <v>70</v>
      </c>
      <c r="F7" s="3">
        <v>112</v>
      </c>
    </row>
    <row r="8" spans="2:9" x14ac:dyDescent="0.25">
      <c r="B8" s="2" t="s">
        <v>131</v>
      </c>
      <c r="C8" s="3">
        <v>66</v>
      </c>
      <c r="D8" s="3">
        <v>155</v>
      </c>
      <c r="E8" s="3">
        <v>67</v>
      </c>
      <c r="F8" s="3">
        <v>210</v>
      </c>
    </row>
    <row r="9" spans="2:9" x14ac:dyDescent="0.25">
      <c r="B9" s="2" t="s">
        <v>132</v>
      </c>
      <c r="C9" s="3">
        <v>106</v>
      </c>
      <c r="D9" s="3">
        <v>242</v>
      </c>
      <c r="E9" s="3">
        <v>53</v>
      </c>
      <c r="F9" s="3">
        <v>160</v>
      </c>
    </row>
    <row r="10" spans="2:9" x14ac:dyDescent="0.25">
      <c r="B10" s="2" t="s">
        <v>133</v>
      </c>
      <c r="C10" s="3">
        <v>103</v>
      </c>
      <c r="D10" s="3">
        <v>134</v>
      </c>
      <c r="E10" s="3">
        <v>42</v>
      </c>
      <c r="F10" s="3">
        <v>125</v>
      </c>
    </row>
    <row r="11" spans="2:9" x14ac:dyDescent="0.25">
      <c r="B11" s="2" t="s">
        <v>134</v>
      </c>
      <c r="C11" s="3">
        <v>108</v>
      </c>
      <c r="D11" s="3">
        <v>269</v>
      </c>
      <c r="E11" s="3">
        <v>34</v>
      </c>
      <c r="F11" s="3">
        <v>174</v>
      </c>
    </row>
    <row r="12" spans="2:9" x14ac:dyDescent="0.25">
      <c r="B12" s="2" t="s">
        <v>135</v>
      </c>
      <c r="C12" s="3">
        <v>112</v>
      </c>
      <c r="D12" s="3">
        <v>166</v>
      </c>
      <c r="E12" s="3">
        <v>72</v>
      </c>
      <c r="F12" s="3">
        <v>88</v>
      </c>
    </row>
    <row r="13" spans="2:9" x14ac:dyDescent="0.25">
      <c r="B13" s="2" t="s">
        <v>136</v>
      </c>
      <c r="C13" s="3">
        <v>98</v>
      </c>
      <c r="D13" s="3">
        <v>192</v>
      </c>
      <c r="E13" s="3">
        <v>30</v>
      </c>
      <c r="F13" s="3">
        <v>85</v>
      </c>
    </row>
    <row r="14" spans="2:9" x14ac:dyDescent="0.25">
      <c r="B14" s="2" t="s">
        <v>137</v>
      </c>
      <c r="C14" s="3">
        <v>62</v>
      </c>
      <c r="D14" s="3">
        <v>200</v>
      </c>
      <c r="E14" s="3">
        <v>38</v>
      </c>
      <c r="F14" s="3">
        <v>67</v>
      </c>
    </row>
    <row r="15" spans="2:9" x14ac:dyDescent="0.25">
      <c r="B15" s="2" t="s">
        <v>138</v>
      </c>
      <c r="C15" s="3">
        <v>41</v>
      </c>
      <c r="D15" s="3">
        <v>97</v>
      </c>
      <c r="E15" s="3">
        <v>20</v>
      </c>
      <c r="F15" s="3">
        <v>135</v>
      </c>
      <c r="I15" s="7"/>
    </row>
    <row r="16" spans="2:9" x14ac:dyDescent="0.25">
      <c r="B16" s="2" t="s">
        <v>139</v>
      </c>
      <c r="C16" s="3">
        <v>90</v>
      </c>
      <c r="D16" s="3">
        <v>199</v>
      </c>
      <c r="E16" s="3">
        <v>28</v>
      </c>
      <c r="F16" s="3">
        <v>110</v>
      </c>
    </row>
    <row r="17" spans="2:6" x14ac:dyDescent="0.25">
      <c r="B17" s="2" t="s">
        <v>140</v>
      </c>
      <c r="C17" s="3">
        <v>84</v>
      </c>
      <c r="D17" s="3">
        <v>124</v>
      </c>
      <c r="E17" s="3">
        <v>27</v>
      </c>
      <c r="F17" s="3">
        <v>60</v>
      </c>
    </row>
    <row r="18" spans="2:6" x14ac:dyDescent="0.25">
      <c r="B18" s="2" t="s">
        <v>141</v>
      </c>
      <c r="C18" s="3">
        <v>81</v>
      </c>
      <c r="D18" s="3">
        <v>153</v>
      </c>
      <c r="E18" s="3">
        <v>21</v>
      </c>
      <c r="F18" s="3">
        <v>76</v>
      </c>
    </row>
    <row r="19" spans="2:6" x14ac:dyDescent="0.25">
      <c r="B19" s="2" t="s">
        <v>142</v>
      </c>
      <c r="C19" s="3">
        <v>60</v>
      </c>
      <c r="D19" s="3">
        <v>92</v>
      </c>
      <c r="E19" s="3">
        <v>24</v>
      </c>
      <c r="F19" s="3">
        <v>47</v>
      </c>
    </row>
    <row r="20" spans="2:6" x14ac:dyDescent="0.25">
      <c r="B20" s="2" t="s">
        <v>143</v>
      </c>
      <c r="C20" s="3">
        <v>44</v>
      </c>
      <c r="D20" s="3">
        <v>85</v>
      </c>
      <c r="E20" s="3">
        <v>11</v>
      </c>
      <c r="F20" s="3">
        <v>30</v>
      </c>
    </row>
    <row r="21" spans="2:6" x14ac:dyDescent="0.25">
      <c r="B21" s="2" t="s">
        <v>144</v>
      </c>
      <c r="C21" s="3">
        <v>36</v>
      </c>
      <c r="D21" s="3">
        <v>76</v>
      </c>
      <c r="E21" s="3">
        <v>14</v>
      </c>
      <c r="F21" s="3">
        <v>28</v>
      </c>
    </row>
    <row r="22" spans="2:6" x14ac:dyDescent="0.25">
      <c r="B22" s="2" t="s">
        <v>145</v>
      </c>
      <c r="C22" s="3">
        <v>18</v>
      </c>
      <c r="D22" s="3">
        <v>27</v>
      </c>
      <c r="E22" s="3">
        <v>6</v>
      </c>
      <c r="F22" s="3">
        <v>57</v>
      </c>
    </row>
    <row r="23" spans="2:6" x14ac:dyDescent="0.25">
      <c r="B23" s="2" t="s">
        <v>146</v>
      </c>
      <c r="C23" s="3">
        <v>37</v>
      </c>
      <c r="D23" s="3">
        <v>86</v>
      </c>
      <c r="E23" s="3">
        <v>12</v>
      </c>
      <c r="F23" s="3">
        <v>52</v>
      </c>
    </row>
    <row r="24" spans="2:6" x14ac:dyDescent="0.25">
      <c r="B24" s="2" t="s">
        <v>147</v>
      </c>
      <c r="C24" s="3">
        <v>48</v>
      </c>
      <c r="D24" s="3">
        <v>71</v>
      </c>
      <c r="E24" s="3">
        <v>13</v>
      </c>
      <c r="F24" s="3">
        <v>54</v>
      </c>
    </row>
    <row r="25" spans="2:6" x14ac:dyDescent="0.25">
      <c r="B25" s="2" t="s">
        <v>148</v>
      </c>
      <c r="C25" s="3">
        <v>58</v>
      </c>
      <c r="D25" s="3">
        <v>100</v>
      </c>
      <c r="E25" s="3">
        <v>10</v>
      </c>
      <c r="F25" s="3">
        <v>72</v>
      </c>
    </row>
    <row r="26" spans="2:6" x14ac:dyDescent="0.25">
      <c r="B26" s="2" t="s">
        <v>149</v>
      </c>
      <c r="C26" s="3">
        <v>44</v>
      </c>
      <c r="D26" s="3">
        <v>66</v>
      </c>
      <c r="E26" s="3">
        <v>23</v>
      </c>
      <c r="F26" s="3">
        <v>55</v>
      </c>
    </row>
    <row r="27" spans="2:6" x14ac:dyDescent="0.25">
      <c r="B27" s="2" t="s">
        <v>150</v>
      </c>
      <c r="C27" s="3">
        <v>53</v>
      </c>
      <c r="D27" s="3">
        <v>60</v>
      </c>
      <c r="E27" s="3">
        <v>11</v>
      </c>
      <c r="F27" s="3">
        <v>44</v>
      </c>
    </row>
    <row r="28" spans="2:6" x14ac:dyDescent="0.25">
      <c r="B28" s="2" t="s">
        <v>151</v>
      </c>
      <c r="C28" s="3">
        <v>30</v>
      </c>
      <c r="D28" s="3">
        <v>52</v>
      </c>
      <c r="E28" s="3">
        <v>9</v>
      </c>
      <c r="F28" s="3">
        <v>34</v>
      </c>
    </row>
    <row r="29" spans="2:6" x14ac:dyDescent="0.25">
      <c r="B29" s="2" t="s">
        <v>152</v>
      </c>
      <c r="C29" s="3">
        <v>27</v>
      </c>
      <c r="D29" s="3">
        <v>37</v>
      </c>
      <c r="E29" s="3">
        <v>10</v>
      </c>
      <c r="F29" s="3">
        <v>57</v>
      </c>
    </row>
    <row r="30" spans="2:6" x14ac:dyDescent="0.25">
      <c r="B30" s="2" t="s">
        <v>153</v>
      </c>
      <c r="C30" s="3">
        <v>43</v>
      </c>
      <c r="D30" s="3">
        <v>101</v>
      </c>
      <c r="E30" s="3">
        <v>11</v>
      </c>
      <c r="F30" s="3">
        <v>48</v>
      </c>
    </row>
    <row r="31" spans="2:6" x14ac:dyDescent="0.25">
      <c r="B31" s="2" t="s">
        <v>154</v>
      </c>
      <c r="C31" s="3">
        <v>58</v>
      </c>
      <c r="D31" s="3">
        <v>67</v>
      </c>
      <c r="E31" s="3">
        <v>19</v>
      </c>
      <c r="F31" s="3">
        <v>49</v>
      </c>
    </row>
    <row r="32" spans="2:6" x14ac:dyDescent="0.25">
      <c r="B32" s="2" t="s">
        <v>155</v>
      </c>
      <c r="C32" s="3">
        <v>59</v>
      </c>
      <c r="D32" s="3">
        <v>97</v>
      </c>
      <c r="E32" s="3">
        <v>19</v>
      </c>
      <c r="F32" s="3">
        <v>73</v>
      </c>
    </row>
    <row r="33" spans="2:15" x14ac:dyDescent="0.25">
      <c r="B33" s="2" t="s">
        <v>156</v>
      </c>
      <c r="C33" s="3">
        <v>63</v>
      </c>
      <c r="D33" s="3">
        <v>71</v>
      </c>
      <c r="E33" s="3">
        <v>35</v>
      </c>
      <c r="F33" s="3">
        <v>59</v>
      </c>
      <c r="O33" t="s">
        <v>157</v>
      </c>
    </row>
    <row r="34" spans="2:15" x14ac:dyDescent="0.25">
      <c r="B34" s="2" t="s">
        <v>158</v>
      </c>
      <c r="C34" s="3">
        <v>55</v>
      </c>
      <c r="D34" s="3">
        <v>69</v>
      </c>
      <c r="E34" s="3">
        <v>12</v>
      </c>
      <c r="F34" s="3">
        <v>49</v>
      </c>
    </row>
    <row r="35" spans="2:15" x14ac:dyDescent="0.25">
      <c r="B35" s="1" t="s">
        <v>36</v>
      </c>
      <c r="C35" s="1">
        <f>SUM(C9:C34)</f>
        <v>1618</v>
      </c>
      <c r="D35" s="1">
        <f>SUM(D9:D34)</f>
        <v>2933</v>
      </c>
      <c r="E35" s="1">
        <f>SUM(E9:E34)</f>
        <v>604</v>
      </c>
      <c r="F35" s="1">
        <f>SUM(F9:F34)</f>
        <v>1888</v>
      </c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D179-C0E3-4D5E-BC60-C7FAF4A9DF95}">
  <dimension ref="B1:O38"/>
  <sheetViews>
    <sheetView workbookViewId="0">
      <selection activeCell="C3" sqref="C3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  <col min="7" max="7" width="10.7109375" bestFit="1" customWidth="1"/>
    <col min="8" max="8" width="11.7109375" customWidth="1"/>
    <col min="9" max="9" width="10.140625" bestFit="1" customWidth="1"/>
    <col min="10" max="10" width="11" bestFit="1" customWidth="1"/>
  </cols>
  <sheetData>
    <row r="1" spans="2:14" x14ac:dyDescent="0.25">
      <c r="C1" s="22" t="s">
        <v>195</v>
      </c>
      <c r="D1" s="22"/>
      <c r="E1" s="22"/>
    </row>
    <row r="2" spans="2:14" x14ac:dyDescent="0.25">
      <c r="C2" s="22"/>
      <c r="D2" s="22"/>
      <c r="E2" s="22"/>
    </row>
    <row r="5" spans="2:14" x14ac:dyDescent="0.25">
      <c r="B5" s="21">
        <v>45474</v>
      </c>
      <c r="C5" s="21"/>
      <c r="D5" s="21"/>
      <c r="E5" s="21"/>
      <c r="F5" s="21"/>
    </row>
    <row r="6" spans="2:14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2:14" x14ac:dyDescent="0.25">
      <c r="B7" s="2" t="s">
        <v>159</v>
      </c>
      <c r="C7" s="3">
        <v>125</v>
      </c>
      <c r="D7" s="3">
        <v>311</v>
      </c>
      <c r="E7" s="3">
        <v>25</v>
      </c>
      <c r="F7" s="3">
        <v>172</v>
      </c>
    </row>
    <row r="8" spans="2:14" x14ac:dyDescent="0.25">
      <c r="B8" s="2" t="s">
        <v>160</v>
      </c>
      <c r="C8" s="3">
        <v>153</v>
      </c>
      <c r="D8" s="3">
        <v>273</v>
      </c>
      <c r="E8" s="3">
        <v>44</v>
      </c>
      <c r="F8" s="3">
        <v>182</v>
      </c>
    </row>
    <row r="9" spans="2:14" x14ac:dyDescent="0.25">
      <c r="B9" s="2" t="s">
        <v>161</v>
      </c>
      <c r="C9" s="3">
        <v>158</v>
      </c>
      <c r="D9" s="3">
        <v>364</v>
      </c>
      <c r="E9" s="3">
        <v>62</v>
      </c>
      <c r="F9" s="3">
        <v>277</v>
      </c>
      <c r="I9" s="8" t="s">
        <v>162</v>
      </c>
      <c r="J9" s="9" t="s">
        <v>163</v>
      </c>
      <c r="K9" s="9" t="s">
        <v>164</v>
      </c>
      <c r="L9" s="9" t="s">
        <v>36</v>
      </c>
      <c r="N9">
        <f>65*25</f>
        <v>1625</v>
      </c>
    </row>
    <row r="10" spans="2:14" x14ac:dyDescent="0.25">
      <c r="B10" s="2" t="s">
        <v>162</v>
      </c>
      <c r="C10" s="3">
        <v>169</v>
      </c>
      <c r="D10" s="3">
        <v>297</v>
      </c>
      <c r="E10" s="3">
        <v>85</v>
      </c>
      <c r="F10" s="3">
        <v>182</v>
      </c>
      <c r="I10" s="10">
        <v>70</v>
      </c>
      <c r="J10" s="11" t="s">
        <v>165</v>
      </c>
      <c r="K10" s="12">
        <v>10</v>
      </c>
      <c r="L10" s="12">
        <f>+I10*K10</f>
        <v>700</v>
      </c>
    </row>
    <row r="11" spans="2:14" x14ac:dyDescent="0.25">
      <c r="B11" s="2" t="s">
        <v>166</v>
      </c>
      <c r="C11" s="3">
        <v>169</v>
      </c>
      <c r="D11" s="3">
        <v>282</v>
      </c>
      <c r="E11" s="3">
        <v>55</v>
      </c>
      <c r="F11" s="3">
        <v>233</v>
      </c>
      <c r="I11" s="10">
        <v>70</v>
      </c>
      <c r="J11" s="11" t="s">
        <v>167</v>
      </c>
      <c r="K11" s="12">
        <v>10</v>
      </c>
      <c r="L11" s="12">
        <f t="shared" ref="L11" si="0">+I11*K11</f>
        <v>700</v>
      </c>
    </row>
    <row r="12" spans="2:14" x14ac:dyDescent="0.25">
      <c r="B12" s="2" t="s">
        <v>168</v>
      </c>
      <c r="C12" s="3">
        <v>120</v>
      </c>
      <c r="D12" s="3">
        <v>323</v>
      </c>
      <c r="E12" s="3">
        <v>53</v>
      </c>
      <c r="F12" s="3">
        <v>127</v>
      </c>
    </row>
    <row r="13" spans="2:14" x14ac:dyDescent="0.25">
      <c r="B13" s="2" t="s">
        <v>169</v>
      </c>
      <c r="C13" s="3">
        <v>105</v>
      </c>
      <c r="D13" s="3">
        <v>166</v>
      </c>
      <c r="E13" s="3">
        <v>36</v>
      </c>
      <c r="F13" s="3">
        <v>241</v>
      </c>
      <c r="K13" s="10" t="s">
        <v>36</v>
      </c>
      <c r="L13" s="12">
        <f>SUM(L9:L12)</f>
        <v>1400</v>
      </c>
    </row>
    <row r="14" spans="2:14" x14ac:dyDescent="0.25">
      <c r="B14" s="2" t="s">
        <v>170</v>
      </c>
      <c r="C14" s="3">
        <v>158</v>
      </c>
      <c r="D14" s="3">
        <v>412</v>
      </c>
      <c r="E14" s="3">
        <v>52</v>
      </c>
      <c r="F14" s="3">
        <v>226</v>
      </c>
    </row>
    <row r="15" spans="2:14" x14ac:dyDescent="0.25">
      <c r="B15" s="2" t="s">
        <v>171</v>
      </c>
      <c r="C15" s="3">
        <v>195</v>
      </c>
      <c r="D15" s="3">
        <v>333</v>
      </c>
      <c r="E15" s="3">
        <v>44</v>
      </c>
      <c r="F15" s="3">
        <v>297</v>
      </c>
    </row>
    <row r="16" spans="2:14" x14ac:dyDescent="0.25">
      <c r="B16" s="2" t="s">
        <v>172</v>
      </c>
      <c r="C16" s="3">
        <v>211</v>
      </c>
      <c r="D16" s="3">
        <v>448</v>
      </c>
      <c r="E16" s="3">
        <v>94</v>
      </c>
      <c r="F16" s="3">
        <v>378</v>
      </c>
    </row>
    <row r="17" spans="2:14" x14ac:dyDescent="0.25">
      <c r="B17" s="2" t="s">
        <v>173</v>
      </c>
      <c r="C17" s="3">
        <v>248</v>
      </c>
      <c r="D17" s="3">
        <v>262</v>
      </c>
      <c r="E17" s="3">
        <v>129</v>
      </c>
      <c r="F17" s="3">
        <v>260</v>
      </c>
      <c r="K17" s="13"/>
      <c r="L17" s="13"/>
      <c r="M17" s="13"/>
      <c r="N17" s="13"/>
    </row>
    <row r="18" spans="2:14" x14ac:dyDescent="0.25">
      <c r="B18" s="2" t="s">
        <v>174</v>
      </c>
      <c r="C18" s="3">
        <v>253</v>
      </c>
      <c r="D18" s="3">
        <v>386</v>
      </c>
      <c r="E18" s="3">
        <v>57</v>
      </c>
      <c r="F18" s="3">
        <v>362</v>
      </c>
      <c r="I18" s="7"/>
      <c r="K18" s="13"/>
      <c r="L18" s="13"/>
      <c r="M18" s="13"/>
      <c r="N18" s="13"/>
    </row>
    <row r="19" spans="2:14" x14ac:dyDescent="0.25">
      <c r="B19" s="2" t="s">
        <v>175</v>
      </c>
      <c r="C19" s="3">
        <v>239</v>
      </c>
      <c r="D19" s="3">
        <v>414</v>
      </c>
      <c r="E19" s="3">
        <v>80</v>
      </c>
      <c r="F19" s="3">
        <v>254</v>
      </c>
      <c r="K19" s="13"/>
      <c r="L19" s="13"/>
      <c r="M19" s="13"/>
      <c r="N19" s="13"/>
    </row>
    <row r="20" spans="2:14" x14ac:dyDescent="0.25">
      <c r="B20" s="2" t="s">
        <v>176</v>
      </c>
      <c r="C20" s="3">
        <v>130</v>
      </c>
      <c r="D20" s="3">
        <v>246</v>
      </c>
      <c r="E20" s="3">
        <v>76</v>
      </c>
      <c r="F20" s="3">
        <v>428</v>
      </c>
      <c r="K20" s="13"/>
      <c r="L20" s="13"/>
      <c r="M20" s="13"/>
      <c r="N20" s="13"/>
    </row>
    <row r="21" spans="2:14" x14ac:dyDescent="0.25">
      <c r="B21" s="2" t="s">
        <v>177</v>
      </c>
      <c r="C21" s="3">
        <v>278</v>
      </c>
      <c r="D21" s="3">
        <v>541</v>
      </c>
      <c r="E21" s="3">
        <v>105</v>
      </c>
      <c r="F21" s="3">
        <v>322</v>
      </c>
      <c r="K21" s="13"/>
      <c r="L21" s="13"/>
      <c r="M21" s="13"/>
      <c r="N21" s="13"/>
    </row>
    <row r="22" spans="2:14" x14ac:dyDescent="0.25">
      <c r="B22" s="2" t="s">
        <v>178</v>
      </c>
      <c r="C22" s="3">
        <v>283</v>
      </c>
      <c r="D22" s="3">
        <v>417</v>
      </c>
      <c r="E22" s="3">
        <v>114</v>
      </c>
      <c r="F22" s="3">
        <v>329</v>
      </c>
      <c r="K22" s="13"/>
      <c r="L22" s="13"/>
      <c r="M22" s="13"/>
      <c r="N22" s="13"/>
    </row>
    <row r="23" spans="2:14" x14ac:dyDescent="0.25">
      <c r="B23" s="2" t="s">
        <v>179</v>
      </c>
      <c r="C23" s="3">
        <v>282</v>
      </c>
      <c r="D23" s="3">
        <v>465</v>
      </c>
      <c r="E23" s="3">
        <v>105</v>
      </c>
      <c r="F23" s="3">
        <v>439</v>
      </c>
      <c r="K23" s="13"/>
      <c r="L23" s="13"/>
      <c r="M23" s="13"/>
      <c r="N23" s="13"/>
    </row>
    <row r="24" spans="2:14" x14ac:dyDescent="0.25">
      <c r="B24" s="2" t="s">
        <v>180</v>
      </c>
      <c r="C24" s="3">
        <v>292</v>
      </c>
      <c r="D24" s="3">
        <v>427</v>
      </c>
      <c r="E24" s="3">
        <v>161</v>
      </c>
      <c r="F24" s="3">
        <v>282</v>
      </c>
      <c r="K24" s="13"/>
      <c r="L24" s="13"/>
      <c r="M24" s="13"/>
      <c r="N24" s="13"/>
    </row>
    <row r="25" spans="2:14" x14ac:dyDescent="0.25">
      <c r="B25" s="2" t="s">
        <v>181</v>
      </c>
      <c r="C25" s="3">
        <v>264</v>
      </c>
      <c r="D25" s="3">
        <v>422</v>
      </c>
      <c r="E25" s="3">
        <v>110</v>
      </c>
      <c r="F25" s="3">
        <v>367</v>
      </c>
      <c r="K25" s="13"/>
      <c r="L25" s="13"/>
      <c r="M25" s="13"/>
      <c r="N25" s="13"/>
    </row>
    <row r="26" spans="2:14" x14ac:dyDescent="0.25">
      <c r="B26" s="2" t="s">
        <v>182</v>
      </c>
      <c r="C26" s="3">
        <v>222</v>
      </c>
      <c r="D26" s="3">
        <v>492</v>
      </c>
      <c r="E26" s="3">
        <v>90</v>
      </c>
      <c r="F26" s="3">
        <v>205</v>
      </c>
      <c r="K26" s="13"/>
      <c r="L26" s="13"/>
      <c r="M26" s="13"/>
      <c r="N26" s="13"/>
    </row>
    <row r="27" spans="2:14" x14ac:dyDescent="0.25">
      <c r="B27" s="2" t="s">
        <v>183</v>
      </c>
      <c r="C27" s="3">
        <v>150</v>
      </c>
      <c r="D27" s="3">
        <v>304</v>
      </c>
      <c r="E27" s="3">
        <v>80</v>
      </c>
      <c r="F27" s="3">
        <v>394</v>
      </c>
      <c r="K27" s="13"/>
      <c r="L27" s="13"/>
      <c r="M27" s="13"/>
      <c r="N27" s="13"/>
    </row>
    <row r="28" spans="2:14" x14ac:dyDescent="0.25">
      <c r="B28" s="2" t="s">
        <v>184</v>
      </c>
      <c r="C28" s="3">
        <v>280</v>
      </c>
      <c r="D28" s="3">
        <v>490</v>
      </c>
      <c r="E28" s="3">
        <v>125</v>
      </c>
      <c r="F28" s="3">
        <v>284</v>
      </c>
      <c r="K28" s="13"/>
      <c r="L28" s="13"/>
      <c r="M28" s="13"/>
      <c r="N28" s="13"/>
    </row>
    <row r="29" spans="2:14" x14ac:dyDescent="0.25">
      <c r="B29" s="2" t="s">
        <v>185</v>
      </c>
      <c r="C29" s="3">
        <v>293</v>
      </c>
      <c r="D29" s="3">
        <v>368</v>
      </c>
      <c r="E29" s="3">
        <v>114</v>
      </c>
      <c r="F29" s="3">
        <v>319</v>
      </c>
      <c r="K29" s="13"/>
      <c r="L29" s="13"/>
      <c r="M29" s="13"/>
      <c r="N29" s="13"/>
    </row>
    <row r="30" spans="2:14" x14ac:dyDescent="0.25">
      <c r="B30" s="2" t="s">
        <v>186</v>
      </c>
      <c r="C30" s="3">
        <v>240</v>
      </c>
      <c r="D30" s="3">
        <v>598</v>
      </c>
      <c r="E30" s="3">
        <v>140</v>
      </c>
      <c r="F30" s="3">
        <v>450</v>
      </c>
    </row>
    <row r="31" spans="2:14" x14ac:dyDescent="0.25">
      <c r="B31" s="2" t="s">
        <v>187</v>
      </c>
      <c r="C31" s="3">
        <v>242</v>
      </c>
      <c r="D31" s="3">
        <v>418</v>
      </c>
      <c r="E31" s="3">
        <v>166</v>
      </c>
      <c r="F31" s="3">
        <v>266</v>
      </c>
    </row>
    <row r="32" spans="2:14" x14ac:dyDescent="0.25">
      <c r="B32" s="2" t="s">
        <v>188</v>
      </c>
      <c r="C32" s="3">
        <v>228</v>
      </c>
      <c r="D32" s="3">
        <v>436</v>
      </c>
      <c r="E32" s="3">
        <v>100</v>
      </c>
      <c r="F32" s="3">
        <v>310</v>
      </c>
      <c r="I32" s="4" t="s">
        <v>189</v>
      </c>
      <c r="J32" s="4" t="s">
        <v>164</v>
      </c>
    </row>
    <row r="33" spans="2:15" x14ac:dyDescent="0.25">
      <c r="B33" s="2" t="s">
        <v>190</v>
      </c>
      <c r="C33" s="3">
        <v>193</v>
      </c>
      <c r="D33" s="3">
        <v>486</v>
      </c>
      <c r="E33" s="3">
        <v>75</v>
      </c>
      <c r="F33" s="3">
        <v>227</v>
      </c>
      <c r="H33" t="s">
        <v>190</v>
      </c>
      <c r="I33" s="4">
        <v>17</v>
      </c>
      <c r="J33" s="14">
        <v>60</v>
      </c>
      <c r="K33" s="15">
        <f>+I33*J33</f>
        <v>1020</v>
      </c>
    </row>
    <row r="34" spans="2:15" x14ac:dyDescent="0.25">
      <c r="B34" s="2" t="s">
        <v>191</v>
      </c>
      <c r="C34" s="3">
        <v>140</v>
      </c>
      <c r="D34" s="3">
        <v>233</v>
      </c>
      <c r="E34" s="3">
        <v>73</v>
      </c>
      <c r="F34" s="3">
        <v>373</v>
      </c>
    </row>
    <row r="35" spans="2:15" x14ac:dyDescent="0.25">
      <c r="B35" s="2" t="s">
        <v>192</v>
      </c>
      <c r="C35" s="3">
        <v>214</v>
      </c>
      <c r="D35" s="3">
        <v>491</v>
      </c>
      <c r="E35" s="3">
        <v>119</v>
      </c>
      <c r="F35" s="3">
        <v>259</v>
      </c>
    </row>
    <row r="36" spans="2:15" x14ac:dyDescent="0.25">
      <c r="B36" s="2" t="s">
        <v>193</v>
      </c>
      <c r="C36" s="3">
        <v>258</v>
      </c>
      <c r="D36" s="3">
        <v>381</v>
      </c>
      <c r="E36" s="3">
        <v>75</v>
      </c>
      <c r="F36" s="3">
        <v>291</v>
      </c>
      <c r="O36" t="s">
        <v>157</v>
      </c>
    </row>
    <row r="37" spans="2:15" x14ac:dyDescent="0.25">
      <c r="B37" s="2" t="s">
        <v>194</v>
      </c>
      <c r="C37" s="3">
        <v>220</v>
      </c>
      <c r="D37" s="3">
        <v>471</v>
      </c>
      <c r="E37" s="3">
        <v>100</v>
      </c>
      <c r="F37" s="3">
        <v>420</v>
      </c>
    </row>
    <row r="38" spans="2:15" x14ac:dyDescent="0.25">
      <c r="B38" s="1" t="s">
        <v>36</v>
      </c>
      <c r="C38" s="1">
        <f>SUM(C12:C37)</f>
        <v>5738</v>
      </c>
      <c r="D38" s="1">
        <f>SUM(D12:D37)</f>
        <v>10430</v>
      </c>
      <c r="E38" s="1">
        <f>SUM(E12:E37)</f>
        <v>2473</v>
      </c>
      <c r="F38" s="1">
        <f>SUM(F12:F37)</f>
        <v>8110</v>
      </c>
    </row>
  </sheetData>
  <mergeCells count="2">
    <mergeCell ref="B5:F5"/>
    <mergeCell ref="C1:E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9F1F-4B70-4922-987A-B02E89C54B61}">
  <dimension ref="B2:F35"/>
  <sheetViews>
    <sheetView workbookViewId="0">
      <selection activeCell="F16" sqref="F16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6" x14ac:dyDescent="0.25">
      <c r="B2" s="21">
        <v>45505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196</v>
      </c>
      <c r="C4" s="3">
        <v>115</v>
      </c>
      <c r="D4" s="3">
        <v>184</v>
      </c>
      <c r="E4" s="3">
        <v>89</v>
      </c>
      <c r="F4" s="3">
        <v>109</v>
      </c>
    </row>
    <row r="5" spans="2:6" x14ac:dyDescent="0.25">
      <c r="B5" s="2" t="s">
        <v>197</v>
      </c>
      <c r="C5" s="3">
        <v>133</v>
      </c>
      <c r="D5" s="3">
        <v>238</v>
      </c>
      <c r="E5" s="3">
        <v>72</v>
      </c>
      <c r="F5" s="3">
        <v>190</v>
      </c>
    </row>
    <row r="6" spans="2:6" x14ac:dyDescent="0.25">
      <c r="B6" s="2" t="s">
        <v>198</v>
      </c>
      <c r="C6" s="3">
        <v>84</v>
      </c>
      <c r="D6" s="3">
        <v>228</v>
      </c>
      <c r="E6" s="3">
        <v>55</v>
      </c>
      <c r="F6" s="3">
        <v>128</v>
      </c>
    </row>
    <row r="7" spans="2:6" x14ac:dyDescent="0.25">
      <c r="B7" s="2" t="s">
        <v>199</v>
      </c>
      <c r="C7" s="3">
        <v>94</v>
      </c>
      <c r="D7" s="3">
        <v>140</v>
      </c>
      <c r="E7" s="3">
        <v>47</v>
      </c>
      <c r="F7" s="3">
        <v>170</v>
      </c>
    </row>
    <row r="8" spans="2:6" x14ac:dyDescent="0.25">
      <c r="B8" s="2" t="s">
        <v>200</v>
      </c>
      <c r="C8" s="3">
        <v>119</v>
      </c>
      <c r="D8" s="3">
        <v>245</v>
      </c>
      <c r="E8" s="3">
        <v>60</v>
      </c>
      <c r="F8" s="3">
        <v>160</v>
      </c>
    </row>
    <row r="9" spans="2:6" x14ac:dyDescent="0.25">
      <c r="B9" s="2" t="s">
        <v>201</v>
      </c>
      <c r="C9" s="3">
        <v>154</v>
      </c>
      <c r="D9" s="3">
        <v>253</v>
      </c>
      <c r="E9" s="3">
        <v>75</v>
      </c>
      <c r="F9" s="3">
        <v>215</v>
      </c>
    </row>
    <row r="10" spans="2:6" x14ac:dyDescent="0.25">
      <c r="B10" s="2" t="s">
        <v>202</v>
      </c>
      <c r="C10" s="3">
        <v>150</v>
      </c>
      <c r="D10" s="3">
        <v>388</v>
      </c>
      <c r="E10" s="3">
        <v>85</v>
      </c>
      <c r="F10" s="3">
        <v>270</v>
      </c>
    </row>
    <row r="11" spans="2:6" x14ac:dyDescent="0.25">
      <c r="B11" s="2" t="s">
        <v>203</v>
      </c>
      <c r="C11" s="3">
        <v>114</v>
      </c>
      <c r="D11" s="3">
        <v>228</v>
      </c>
      <c r="E11" s="3">
        <v>56</v>
      </c>
      <c r="F11" s="3">
        <v>145</v>
      </c>
    </row>
    <row r="12" spans="2:6" x14ac:dyDescent="0.25">
      <c r="B12" s="2" t="s">
        <v>204</v>
      </c>
      <c r="C12" s="3">
        <v>149</v>
      </c>
      <c r="D12" s="3">
        <v>289</v>
      </c>
      <c r="E12" s="3">
        <v>25</v>
      </c>
      <c r="F12" s="3">
        <v>211</v>
      </c>
    </row>
    <row r="13" spans="2:6" x14ac:dyDescent="0.25">
      <c r="B13" s="2" t="s">
        <v>205</v>
      </c>
      <c r="C13" s="3">
        <v>80</v>
      </c>
      <c r="D13" s="3">
        <v>273</v>
      </c>
      <c r="E13" s="3">
        <v>12</v>
      </c>
      <c r="F13" s="3">
        <v>94</v>
      </c>
    </row>
    <row r="14" spans="2:6" x14ac:dyDescent="0.25">
      <c r="B14" s="2" t="s">
        <v>206</v>
      </c>
      <c r="C14" s="3">
        <v>75</v>
      </c>
      <c r="D14" s="3">
        <v>164</v>
      </c>
      <c r="E14" s="3">
        <v>36</v>
      </c>
      <c r="F14" s="3">
        <v>252</v>
      </c>
    </row>
    <row r="15" spans="2:6" x14ac:dyDescent="0.25">
      <c r="B15" s="2" t="s">
        <v>207</v>
      </c>
      <c r="C15" s="3">
        <v>172</v>
      </c>
      <c r="D15" s="3">
        <v>436</v>
      </c>
      <c r="E15" s="3">
        <v>58</v>
      </c>
      <c r="F15" s="3">
        <v>293</v>
      </c>
    </row>
    <row r="16" spans="2:6" x14ac:dyDescent="0.25">
      <c r="B16" s="2" t="s">
        <v>208</v>
      </c>
      <c r="C16" s="3">
        <v>200</v>
      </c>
      <c r="D16" s="3">
        <v>340</v>
      </c>
      <c r="E16" s="3">
        <v>83</v>
      </c>
      <c r="F16" s="3">
        <v>234</v>
      </c>
    </row>
    <row r="17" spans="2:6" x14ac:dyDescent="0.25">
      <c r="B17" s="2" t="s">
        <v>209</v>
      </c>
      <c r="C17" s="3">
        <v>243</v>
      </c>
      <c r="D17" s="3">
        <v>607</v>
      </c>
      <c r="E17" s="3">
        <v>93</v>
      </c>
      <c r="F17" s="3">
        <v>370</v>
      </c>
    </row>
    <row r="18" spans="2:6" x14ac:dyDescent="0.25">
      <c r="B18" s="2" t="s">
        <v>210</v>
      </c>
      <c r="C18" s="3">
        <v>155</v>
      </c>
      <c r="D18" s="3">
        <v>180</v>
      </c>
      <c r="E18" s="3">
        <v>145</v>
      </c>
      <c r="F18" s="3">
        <v>185</v>
      </c>
    </row>
    <row r="19" spans="2:6" x14ac:dyDescent="0.25">
      <c r="B19" s="2" t="s">
        <v>211</v>
      </c>
      <c r="C19" s="3">
        <v>195</v>
      </c>
      <c r="D19" s="3">
        <v>430</v>
      </c>
      <c r="E19" s="3">
        <v>142</v>
      </c>
      <c r="F19" s="3">
        <v>415</v>
      </c>
    </row>
    <row r="20" spans="2:6" x14ac:dyDescent="0.25">
      <c r="B20" s="2" t="s">
        <v>212</v>
      </c>
      <c r="C20" s="3">
        <v>137</v>
      </c>
      <c r="D20" s="3">
        <v>527</v>
      </c>
      <c r="E20" s="3">
        <v>45</v>
      </c>
      <c r="F20" s="3">
        <v>155</v>
      </c>
    </row>
    <row r="21" spans="2:6" x14ac:dyDescent="0.25">
      <c r="B21" s="2" t="s">
        <v>213</v>
      </c>
      <c r="C21" s="3">
        <v>126</v>
      </c>
      <c r="D21" s="3">
        <v>213</v>
      </c>
      <c r="E21" s="3">
        <v>90</v>
      </c>
      <c r="F21" s="3">
        <v>306</v>
      </c>
    </row>
    <row r="22" spans="2:6" x14ac:dyDescent="0.25">
      <c r="B22" s="2" t="s">
        <v>214</v>
      </c>
      <c r="C22" s="3">
        <v>162</v>
      </c>
      <c r="D22" s="3">
        <v>362</v>
      </c>
      <c r="E22" s="3">
        <v>147</v>
      </c>
      <c r="F22" s="3">
        <v>317</v>
      </c>
    </row>
    <row r="23" spans="2:6" x14ac:dyDescent="0.25">
      <c r="B23" s="2" t="s">
        <v>215</v>
      </c>
      <c r="C23" s="3">
        <v>220</v>
      </c>
      <c r="D23" s="3">
        <v>432</v>
      </c>
      <c r="E23" s="3">
        <v>177</v>
      </c>
      <c r="F23" s="3">
        <v>325</v>
      </c>
    </row>
    <row r="24" spans="2:6" x14ac:dyDescent="0.25">
      <c r="B24" s="2" t="s">
        <v>216</v>
      </c>
      <c r="C24" s="3">
        <v>305</v>
      </c>
      <c r="D24" s="3">
        <v>680</v>
      </c>
      <c r="E24" s="3">
        <v>224</v>
      </c>
      <c r="F24" s="3">
        <v>584</v>
      </c>
    </row>
    <row r="25" spans="2:6" x14ac:dyDescent="0.25">
      <c r="B25" s="2" t="s">
        <v>217</v>
      </c>
      <c r="C25" s="3">
        <v>265</v>
      </c>
      <c r="D25" s="3">
        <v>399</v>
      </c>
      <c r="E25" s="3">
        <v>236</v>
      </c>
      <c r="F25" s="3">
        <v>250</v>
      </c>
    </row>
    <row r="26" spans="2:6" x14ac:dyDescent="0.25">
      <c r="B26" s="2" t="s">
        <v>218</v>
      </c>
      <c r="C26" s="3">
        <v>180</v>
      </c>
      <c r="D26" s="3">
        <v>380</v>
      </c>
      <c r="E26" s="3">
        <v>100</v>
      </c>
      <c r="F26" s="3">
        <v>300</v>
      </c>
    </row>
    <row r="27" spans="2:6" x14ac:dyDescent="0.25">
      <c r="B27" s="2" t="s">
        <v>219</v>
      </c>
      <c r="C27" s="3">
        <v>132</v>
      </c>
      <c r="D27" s="3">
        <v>390</v>
      </c>
      <c r="E27" s="3">
        <v>76</v>
      </c>
      <c r="F27" s="3">
        <v>170</v>
      </c>
    </row>
    <row r="28" spans="2:6" x14ac:dyDescent="0.25">
      <c r="B28" s="2" t="s">
        <v>220</v>
      </c>
      <c r="C28" s="3">
        <v>143</v>
      </c>
      <c r="D28" s="3">
        <v>230</v>
      </c>
      <c r="E28" s="3">
        <v>70</v>
      </c>
      <c r="F28" s="3">
        <v>260</v>
      </c>
    </row>
    <row r="29" spans="2:6" x14ac:dyDescent="0.25">
      <c r="B29" s="2" t="s">
        <v>221</v>
      </c>
      <c r="C29" s="3">
        <v>130</v>
      </c>
      <c r="D29" s="3">
        <v>288</v>
      </c>
      <c r="E29" s="3">
        <v>96</v>
      </c>
      <c r="F29" s="3">
        <v>255</v>
      </c>
    </row>
    <row r="30" spans="2:6" x14ac:dyDescent="0.25">
      <c r="B30" s="2" t="s">
        <v>222</v>
      </c>
      <c r="C30" s="3">
        <v>262</v>
      </c>
      <c r="D30" s="3">
        <v>412</v>
      </c>
      <c r="E30" s="3">
        <v>260</v>
      </c>
      <c r="F30" s="3">
        <v>325</v>
      </c>
    </row>
    <row r="31" spans="2:6" x14ac:dyDescent="0.25">
      <c r="B31" s="2" t="s">
        <v>223</v>
      </c>
      <c r="C31" s="3">
        <v>335</v>
      </c>
      <c r="D31" s="3">
        <v>662</v>
      </c>
      <c r="E31" s="3">
        <v>290</v>
      </c>
      <c r="F31" s="3">
        <v>598</v>
      </c>
    </row>
    <row r="32" spans="2:6" x14ac:dyDescent="0.25">
      <c r="B32" s="2" t="s">
        <v>224</v>
      </c>
      <c r="C32" s="3">
        <v>248</v>
      </c>
      <c r="D32" s="3">
        <v>307</v>
      </c>
      <c r="E32" s="3">
        <v>338</v>
      </c>
      <c r="F32" s="3">
        <v>268</v>
      </c>
    </row>
    <row r="33" spans="2:6" x14ac:dyDescent="0.25">
      <c r="B33" s="2" t="s">
        <v>225</v>
      </c>
      <c r="C33" s="3">
        <v>263</v>
      </c>
      <c r="D33" s="3">
        <v>455</v>
      </c>
      <c r="E33" s="3">
        <v>221</v>
      </c>
      <c r="F33" s="3">
        <v>450</v>
      </c>
    </row>
    <row r="34" spans="2:6" x14ac:dyDescent="0.25">
      <c r="B34" s="2" t="s">
        <v>226</v>
      </c>
      <c r="C34" s="3">
        <v>183</v>
      </c>
      <c r="D34" s="3">
        <v>561</v>
      </c>
      <c r="E34" s="3">
        <v>128</v>
      </c>
      <c r="F34" s="3">
        <v>172</v>
      </c>
    </row>
    <row r="35" spans="2:6" x14ac:dyDescent="0.25">
      <c r="B35" s="1" t="s">
        <v>36</v>
      </c>
      <c r="C35" s="1">
        <f>SUM(C9:C34)</f>
        <v>4778</v>
      </c>
      <c r="D35" s="1">
        <f>SUM(D9:D34)</f>
        <v>9886</v>
      </c>
      <c r="E35" s="1">
        <f>SUM(E9:E34)</f>
        <v>3308</v>
      </c>
      <c r="F35" s="1">
        <f>SUM(F9:F34)</f>
        <v>7419</v>
      </c>
    </row>
  </sheetData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AAB0-27EE-4C7A-99BA-640C4CA12F96}">
  <dimension ref="B2:F35"/>
  <sheetViews>
    <sheetView workbookViewId="0">
      <selection activeCell="G12" sqref="G12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6" x14ac:dyDescent="0.25">
      <c r="B2" s="21">
        <v>45536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227</v>
      </c>
      <c r="C4" s="3">
        <v>112</v>
      </c>
      <c r="D4" s="3">
        <v>263</v>
      </c>
      <c r="E4" s="3">
        <v>75</v>
      </c>
      <c r="F4" s="3">
        <v>385</v>
      </c>
    </row>
    <row r="5" spans="2:6" x14ac:dyDescent="0.25">
      <c r="B5" s="2" t="s">
        <v>228</v>
      </c>
      <c r="C5" s="3">
        <v>220</v>
      </c>
      <c r="D5" s="3">
        <v>565</v>
      </c>
      <c r="E5" s="3">
        <v>240</v>
      </c>
      <c r="F5" s="3">
        <v>525</v>
      </c>
    </row>
    <row r="6" spans="2:6" x14ac:dyDescent="0.25">
      <c r="B6" s="2" t="s">
        <v>229</v>
      </c>
      <c r="C6" s="3">
        <v>315</v>
      </c>
      <c r="D6" s="3">
        <v>480</v>
      </c>
      <c r="E6" s="3">
        <v>290</v>
      </c>
      <c r="F6" s="3">
        <v>315</v>
      </c>
    </row>
    <row r="7" spans="2:6" x14ac:dyDescent="0.25">
      <c r="B7" s="2" t="s">
        <v>230</v>
      </c>
      <c r="C7" s="3">
        <v>290</v>
      </c>
      <c r="D7" s="3">
        <v>670</v>
      </c>
      <c r="E7" s="3">
        <v>267</v>
      </c>
      <c r="F7" s="3">
        <v>622</v>
      </c>
    </row>
    <row r="8" spans="2:6" x14ac:dyDescent="0.25">
      <c r="B8" s="2" t="s">
        <v>231</v>
      </c>
      <c r="C8" s="3">
        <v>266</v>
      </c>
      <c r="D8" s="3">
        <v>414</v>
      </c>
      <c r="E8" s="3">
        <v>300</v>
      </c>
      <c r="F8" s="3">
        <v>308</v>
      </c>
    </row>
    <row r="9" spans="2:6" x14ac:dyDescent="0.25">
      <c r="B9" s="2" t="s">
        <v>232</v>
      </c>
      <c r="C9" s="3">
        <v>250</v>
      </c>
      <c r="D9" s="3">
        <v>505</v>
      </c>
      <c r="E9" s="3">
        <v>138</v>
      </c>
      <c r="F9" s="3">
        <v>370</v>
      </c>
    </row>
    <row r="10" spans="2:6" x14ac:dyDescent="0.25">
      <c r="B10" s="2" t="s">
        <v>233</v>
      </c>
      <c r="C10" s="3">
        <v>114</v>
      </c>
      <c r="D10" s="3">
        <v>442</v>
      </c>
      <c r="E10" s="3">
        <v>66</v>
      </c>
      <c r="F10" s="3">
        <v>180</v>
      </c>
    </row>
    <row r="11" spans="2:6" x14ac:dyDescent="0.25">
      <c r="B11" s="2" t="s">
        <v>234</v>
      </c>
      <c r="C11" s="3">
        <v>145</v>
      </c>
      <c r="D11" s="3">
        <v>230</v>
      </c>
      <c r="E11" s="3">
        <v>80</v>
      </c>
      <c r="F11" s="3">
        <v>405</v>
      </c>
    </row>
    <row r="12" spans="2:6" x14ac:dyDescent="0.25">
      <c r="B12" s="2" t="s">
        <v>235</v>
      </c>
      <c r="C12" s="3">
        <v>226</v>
      </c>
      <c r="D12" s="3">
        <v>532</v>
      </c>
      <c r="E12" s="3">
        <v>254</v>
      </c>
      <c r="F12" s="3">
        <v>550</v>
      </c>
    </row>
    <row r="13" spans="2:6" x14ac:dyDescent="0.25">
      <c r="B13" s="2" t="s">
        <v>236</v>
      </c>
      <c r="C13" s="3">
        <v>350</v>
      </c>
      <c r="D13" s="3">
        <v>497</v>
      </c>
      <c r="E13" s="3">
        <v>331</v>
      </c>
      <c r="F13" s="3">
        <v>347</v>
      </c>
    </row>
    <row r="14" spans="2:6" x14ac:dyDescent="0.25">
      <c r="B14" s="2" t="s">
        <v>237</v>
      </c>
      <c r="C14" s="3">
        <v>320</v>
      </c>
      <c r="D14" s="3">
        <v>708</v>
      </c>
      <c r="E14" s="3">
        <v>263</v>
      </c>
      <c r="F14" s="3">
        <v>658</v>
      </c>
    </row>
    <row r="15" spans="2:6" x14ac:dyDescent="0.25">
      <c r="B15" s="2" t="s">
        <v>238</v>
      </c>
      <c r="C15" s="3">
        <v>295</v>
      </c>
      <c r="D15" s="3">
        <v>342</v>
      </c>
      <c r="E15" s="3">
        <v>356</v>
      </c>
      <c r="F15" s="3">
        <v>270</v>
      </c>
    </row>
    <row r="16" spans="2:6" x14ac:dyDescent="0.25">
      <c r="B16" s="2" t="s">
        <v>239</v>
      </c>
      <c r="C16" s="3">
        <v>290</v>
      </c>
      <c r="D16" s="3">
        <v>467</v>
      </c>
      <c r="E16" s="3">
        <v>158</v>
      </c>
      <c r="F16" s="3">
        <v>460</v>
      </c>
    </row>
    <row r="17" spans="2:6" x14ac:dyDescent="0.25">
      <c r="B17" s="2" t="s">
        <v>240</v>
      </c>
      <c r="C17" s="3">
        <v>120</v>
      </c>
      <c r="D17" s="3">
        <v>465</v>
      </c>
      <c r="E17" s="3">
        <v>77</v>
      </c>
      <c r="F17" s="3">
        <v>150</v>
      </c>
    </row>
    <row r="18" spans="2:6" x14ac:dyDescent="0.25">
      <c r="B18" s="2" t="s">
        <v>241</v>
      </c>
      <c r="C18" s="3">
        <v>126</v>
      </c>
      <c r="D18" s="3">
        <v>220</v>
      </c>
      <c r="E18" s="3">
        <v>65</v>
      </c>
      <c r="F18" s="3">
        <v>327</v>
      </c>
    </row>
    <row r="19" spans="2:6" x14ac:dyDescent="0.25">
      <c r="B19" s="2" t="s">
        <v>242</v>
      </c>
      <c r="C19" s="3">
        <v>164</v>
      </c>
      <c r="D19" s="3">
        <v>350</v>
      </c>
      <c r="E19" s="3">
        <v>138</v>
      </c>
      <c r="F19" s="3">
        <v>347</v>
      </c>
    </row>
    <row r="20" spans="2:6" x14ac:dyDescent="0.25">
      <c r="B20" s="2" t="s">
        <v>243</v>
      </c>
      <c r="C20" s="3">
        <v>260</v>
      </c>
      <c r="D20" s="3">
        <v>415</v>
      </c>
      <c r="E20" s="3">
        <v>288</v>
      </c>
      <c r="F20" s="3">
        <v>320</v>
      </c>
    </row>
    <row r="21" spans="2:6" x14ac:dyDescent="0.25">
      <c r="B21" s="2" t="s">
        <v>244</v>
      </c>
      <c r="C21" s="3">
        <v>295</v>
      </c>
      <c r="D21" s="3">
        <v>644</v>
      </c>
      <c r="E21" s="3">
        <v>260</v>
      </c>
      <c r="F21" s="3">
        <v>634</v>
      </c>
    </row>
    <row r="22" spans="2:6" x14ac:dyDescent="0.25">
      <c r="B22" s="2" t="s">
        <v>245</v>
      </c>
      <c r="C22" s="3">
        <v>227</v>
      </c>
      <c r="D22" s="3">
        <v>404</v>
      </c>
      <c r="E22" s="3">
        <v>395</v>
      </c>
      <c r="F22" s="3">
        <v>280</v>
      </c>
    </row>
    <row r="23" spans="2:6" x14ac:dyDescent="0.25">
      <c r="B23" s="2" t="s">
        <v>246</v>
      </c>
      <c r="C23" s="3">
        <v>250</v>
      </c>
      <c r="D23" s="3">
        <v>512</v>
      </c>
      <c r="E23" s="3">
        <v>145</v>
      </c>
      <c r="F23" s="3">
        <v>367</v>
      </c>
    </row>
    <row r="24" spans="2:6" x14ac:dyDescent="0.25">
      <c r="B24" s="2" t="s">
        <v>247</v>
      </c>
      <c r="C24" s="3">
        <v>140</v>
      </c>
      <c r="D24" s="3">
        <v>516</v>
      </c>
      <c r="E24" s="3">
        <v>102</v>
      </c>
      <c r="F24" s="3">
        <v>210</v>
      </c>
    </row>
    <row r="25" spans="2:6" x14ac:dyDescent="0.25">
      <c r="B25" s="2" t="s">
        <v>248</v>
      </c>
      <c r="C25" s="3">
        <v>127</v>
      </c>
      <c r="D25" s="3">
        <v>293</v>
      </c>
      <c r="E25" s="3">
        <v>100</v>
      </c>
      <c r="F25" s="3">
        <v>455</v>
      </c>
    </row>
    <row r="26" spans="2:6" x14ac:dyDescent="0.25">
      <c r="B26" s="2" t="s">
        <v>249</v>
      </c>
      <c r="C26" s="3">
        <v>218</v>
      </c>
      <c r="D26" s="3">
        <v>555</v>
      </c>
      <c r="E26" s="3">
        <v>247</v>
      </c>
      <c r="F26" s="3">
        <v>493</v>
      </c>
    </row>
    <row r="27" spans="2:6" x14ac:dyDescent="0.25">
      <c r="B27" s="2" t="s">
        <v>250</v>
      </c>
      <c r="C27" s="3">
        <v>308</v>
      </c>
      <c r="D27" s="3">
        <v>457</v>
      </c>
      <c r="E27" s="3">
        <v>319</v>
      </c>
      <c r="F27" s="3">
        <v>352</v>
      </c>
    </row>
    <row r="28" spans="2:6" x14ac:dyDescent="0.25">
      <c r="B28" s="2" t="s">
        <v>251</v>
      </c>
      <c r="C28" s="3">
        <v>280</v>
      </c>
      <c r="D28" s="3">
        <v>656</v>
      </c>
      <c r="E28" s="3">
        <v>252</v>
      </c>
      <c r="F28" s="3">
        <v>625</v>
      </c>
    </row>
    <row r="29" spans="2:6" x14ac:dyDescent="0.25">
      <c r="B29" s="2" t="s">
        <v>252</v>
      </c>
      <c r="C29" s="3">
        <v>253</v>
      </c>
      <c r="D29" s="3">
        <v>486</v>
      </c>
      <c r="E29" s="3">
        <v>334</v>
      </c>
      <c r="F29" s="3">
        <v>235</v>
      </c>
    </row>
    <row r="30" spans="2:6" x14ac:dyDescent="0.25">
      <c r="B30" s="2" t="s">
        <v>253</v>
      </c>
      <c r="C30" s="3">
        <v>274</v>
      </c>
      <c r="D30" s="3">
        <v>495</v>
      </c>
      <c r="E30" s="3">
        <v>143</v>
      </c>
      <c r="F30" s="3">
        <v>340</v>
      </c>
    </row>
    <row r="31" spans="2:6" x14ac:dyDescent="0.25">
      <c r="B31" s="2" t="s">
        <v>254</v>
      </c>
      <c r="C31" s="3">
        <v>145</v>
      </c>
      <c r="D31" s="3">
        <v>510</v>
      </c>
      <c r="E31" s="3">
        <v>94</v>
      </c>
      <c r="F31" s="3">
        <v>195</v>
      </c>
    </row>
    <row r="32" spans="2:6" x14ac:dyDescent="0.25">
      <c r="B32" s="2" t="s">
        <v>255</v>
      </c>
      <c r="C32" s="3">
        <v>125</v>
      </c>
      <c r="D32" s="3">
        <v>283</v>
      </c>
      <c r="E32" s="3">
        <v>110</v>
      </c>
      <c r="F32" s="3">
        <v>427</v>
      </c>
    </row>
    <row r="33" spans="2:6" x14ac:dyDescent="0.25">
      <c r="B33" s="2" t="s">
        <v>256</v>
      </c>
      <c r="C33" s="3">
        <v>225</v>
      </c>
      <c r="D33" s="3">
        <v>505</v>
      </c>
      <c r="E33" s="3">
        <v>164</v>
      </c>
      <c r="F33" s="3">
        <v>376</v>
      </c>
    </row>
    <row r="34" spans="2:6" x14ac:dyDescent="0.25">
      <c r="B34" s="2"/>
      <c r="C34" s="3"/>
      <c r="D34" s="3"/>
      <c r="E34" s="3"/>
      <c r="F34" s="3"/>
    </row>
    <row r="35" spans="2:6" x14ac:dyDescent="0.25">
      <c r="B35" s="1" t="s">
        <v>36</v>
      </c>
      <c r="C35" s="1">
        <f>SUM(C9:C34)</f>
        <v>5527</v>
      </c>
      <c r="D35" s="1">
        <f>SUM(D9:D34)</f>
        <v>11489</v>
      </c>
      <c r="E35" s="1">
        <f>SUM(E9:E34)</f>
        <v>4879</v>
      </c>
      <c r="F35" s="1">
        <f>SUM(F9:F34)</f>
        <v>9373</v>
      </c>
    </row>
  </sheetData>
  <mergeCells count="1">
    <mergeCell ref="B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5630-CA1A-421D-9ED1-6CE27D6060D6}">
  <dimension ref="B2:L35"/>
  <sheetViews>
    <sheetView workbookViewId="0">
      <selection activeCell="F11" sqref="F11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10" x14ac:dyDescent="0.25">
      <c r="B2" s="21">
        <v>45566</v>
      </c>
      <c r="C2" s="21"/>
      <c r="D2" s="21"/>
      <c r="E2" s="21"/>
      <c r="F2" s="21"/>
    </row>
    <row r="3" spans="2:1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10" x14ac:dyDescent="0.25">
      <c r="B4" s="2" t="s">
        <v>257</v>
      </c>
      <c r="C4" s="3">
        <v>230</v>
      </c>
      <c r="D4" s="3">
        <v>390</v>
      </c>
      <c r="E4" s="3">
        <v>242</v>
      </c>
      <c r="F4" s="3">
        <v>370</v>
      </c>
    </row>
    <row r="5" spans="2:10" x14ac:dyDescent="0.25">
      <c r="B5" s="2" t="s">
        <v>258</v>
      </c>
      <c r="C5" s="3">
        <v>232</v>
      </c>
      <c r="D5" s="3">
        <v>616</v>
      </c>
      <c r="E5" s="3">
        <v>205</v>
      </c>
      <c r="F5" s="3">
        <v>533</v>
      </c>
    </row>
    <row r="6" spans="2:10" x14ac:dyDescent="0.25">
      <c r="B6" s="2" t="s">
        <v>259</v>
      </c>
      <c r="C6" s="3">
        <v>253</v>
      </c>
      <c r="D6" s="3">
        <v>483</v>
      </c>
      <c r="E6" s="3">
        <v>334</v>
      </c>
      <c r="F6" s="3">
        <v>345</v>
      </c>
    </row>
    <row r="7" spans="2:10" x14ac:dyDescent="0.25">
      <c r="B7" s="2" t="s">
        <v>260</v>
      </c>
      <c r="C7" s="3">
        <v>247</v>
      </c>
      <c r="D7" s="3">
        <v>590</v>
      </c>
      <c r="E7" s="3">
        <v>256</v>
      </c>
      <c r="F7" s="3">
        <v>570</v>
      </c>
    </row>
    <row r="8" spans="2:10" x14ac:dyDescent="0.25">
      <c r="B8" s="2" t="s">
        <v>261</v>
      </c>
      <c r="C8" s="3">
        <v>248</v>
      </c>
      <c r="D8" s="3">
        <v>588</v>
      </c>
      <c r="E8" s="3">
        <v>118</v>
      </c>
      <c r="F8" s="3">
        <v>285</v>
      </c>
      <c r="J8" s="16"/>
    </row>
    <row r="9" spans="2:10" x14ac:dyDescent="0.25">
      <c r="B9" s="2" t="s">
        <v>262</v>
      </c>
      <c r="C9" s="3">
        <v>180</v>
      </c>
      <c r="D9" s="3">
        <v>387</v>
      </c>
      <c r="E9" s="3">
        <v>138</v>
      </c>
      <c r="F9" s="3">
        <v>515</v>
      </c>
      <c r="J9" s="16"/>
    </row>
    <row r="10" spans="2:10" x14ac:dyDescent="0.25">
      <c r="B10" s="2" t="s">
        <v>263</v>
      </c>
      <c r="C10" s="3">
        <v>232</v>
      </c>
      <c r="D10" s="3">
        <v>474</v>
      </c>
      <c r="E10" s="3">
        <v>405</v>
      </c>
      <c r="F10" s="3">
        <v>490</v>
      </c>
      <c r="J10" s="16"/>
    </row>
    <row r="11" spans="2:10" x14ac:dyDescent="0.25">
      <c r="B11" s="2" t="s">
        <v>264</v>
      </c>
      <c r="C11" s="3">
        <v>277</v>
      </c>
      <c r="D11" s="3">
        <v>354</v>
      </c>
      <c r="E11" s="3">
        <v>301</v>
      </c>
      <c r="F11" s="3">
        <v>348</v>
      </c>
      <c r="J11" s="16"/>
    </row>
    <row r="12" spans="2:10" x14ac:dyDescent="0.25">
      <c r="B12" s="2" t="s">
        <v>265</v>
      </c>
      <c r="C12" s="3">
        <v>238</v>
      </c>
      <c r="D12" s="3">
        <v>631</v>
      </c>
      <c r="E12" s="3">
        <v>231</v>
      </c>
      <c r="F12" s="3">
        <v>554</v>
      </c>
      <c r="J12" s="16"/>
    </row>
    <row r="13" spans="2:10" x14ac:dyDescent="0.25">
      <c r="B13" s="2" t="s">
        <v>266</v>
      </c>
      <c r="C13" s="3">
        <v>224</v>
      </c>
      <c r="D13" s="3">
        <v>446</v>
      </c>
      <c r="E13" s="3">
        <v>326</v>
      </c>
      <c r="F13" s="3">
        <v>290</v>
      </c>
    </row>
    <row r="14" spans="2:10" x14ac:dyDescent="0.25">
      <c r="B14" s="2" t="s">
        <v>267</v>
      </c>
      <c r="C14" s="3">
        <v>245</v>
      </c>
      <c r="D14" s="3">
        <v>446</v>
      </c>
      <c r="E14" s="3">
        <v>159</v>
      </c>
      <c r="F14" s="3">
        <v>155</v>
      </c>
    </row>
    <row r="15" spans="2:10" x14ac:dyDescent="0.25">
      <c r="B15" s="2" t="s">
        <v>268</v>
      </c>
      <c r="C15" s="3">
        <v>91</v>
      </c>
      <c r="D15" s="3">
        <v>318</v>
      </c>
      <c r="E15" s="3">
        <v>60</v>
      </c>
      <c r="F15" s="3">
        <v>95</v>
      </c>
    </row>
    <row r="16" spans="2:10" x14ac:dyDescent="0.25">
      <c r="B16" s="2" t="s">
        <v>269</v>
      </c>
      <c r="C16" s="3">
        <v>94</v>
      </c>
      <c r="D16" s="3">
        <v>181</v>
      </c>
      <c r="E16" s="3">
        <v>72</v>
      </c>
      <c r="F16" s="3">
        <v>300</v>
      </c>
    </row>
    <row r="17" spans="2:12" x14ac:dyDescent="0.25">
      <c r="B17" s="2" t="s">
        <v>270</v>
      </c>
      <c r="C17" s="3">
        <v>180</v>
      </c>
      <c r="D17" s="3">
        <v>492</v>
      </c>
      <c r="E17" s="3">
        <v>336</v>
      </c>
      <c r="F17" s="3">
        <v>474</v>
      </c>
    </row>
    <row r="18" spans="2:12" x14ac:dyDescent="0.25">
      <c r="B18" s="2" t="s">
        <v>271</v>
      </c>
      <c r="C18" s="3">
        <v>293</v>
      </c>
      <c r="D18" s="3">
        <v>510</v>
      </c>
      <c r="E18" s="3">
        <v>322</v>
      </c>
      <c r="F18" s="3">
        <v>427</v>
      </c>
      <c r="I18" s="7"/>
    </row>
    <row r="19" spans="2:12" x14ac:dyDescent="0.25">
      <c r="B19" s="2" t="s">
        <v>272</v>
      </c>
      <c r="C19" s="3">
        <v>301</v>
      </c>
      <c r="D19" s="3">
        <v>703</v>
      </c>
      <c r="E19" s="3">
        <v>250</v>
      </c>
      <c r="F19" s="3">
        <v>606</v>
      </c>
    </row>
    <row r="20" spans="2:12" x14ac:dyDescent="0.25">
      <c r="B20" s="2" t="s">
        <v>273</v>
      </c>
      <c r="C20" s="3">
        <v>289</v>
      </c>
      <c r="D20" s="3">
        <v>487</v>
      </c>
      <c r="E20" s="3">
        <v>360</v>
      </c>
      <c r="F20" s="3">
        <v>253</v>
      </c>
    </row>
    <row r="21" spans="2:12" x14ac:dyDescent="0.25">
      <c r="B21" s="2" t="s">
        <v>274</v>
      </c>
      <c r="C21" s="3">
        <v>247</v>
      </c>
      <c r="D21" s="3">
        <v>478</v>
      </c>
      <c r="E21" s="3">
        <v>224</v>
      </c>
      <c r="F21" s="3">
        <v>350</v>
      </c>
    </row>
    <row r="22" spans="2:12" x14ac:dyDescent="0.25">
      <c r="B22" s="2" t="s">
        <v>275</v>
      </c>
      <c r="C22" s="3">
        <v>160</v>
      </c>
      <c r="D22" s="3">
        <v>409</v>
      </c>
      <c r="E22" s="3">
        <v>81</v>
      </c>
      <c r="F22" s="3">
        <v>177</v>
      </c>
    </row>
    <row r="23" spans="2:12" x14ac:dyDescent="0.25">
      <c r="B23" s="2" t="s">
        <v>276</v>
      </c>
      <c r="C23" s="3">
        <v>125</v>
      </c>
      <c r="D23" s="3">
        <v>244</v>
      </c>
      <c r="E23" s="3">
        <v>77</v>
      </c>
      <c r="F23" s="3">
        <v>371</v>
      </c>
      <c r="I23" s="4" t="s">
        <v>2</v>
      </c>
    </row>
    <row r="24" spans="2:12" x14ac:dyDescent="0.25">
      <c r="B24" s="2" t="s">
        <v>277</v>
      </c>
      <c r="C24" s="3">
        <v>216</v>
      </c>
      <c r="D24" s="3">
        <v>525</v>
      </c>
      <c r="E24" s="3">
        <v>360</v>
      </c>
      <c r="F24" s="3">
        <v>522</v>
      </c>
      <c r="I24" s="4" t="s">
        <v>278</v>
      </c>
      <c r="J24" s="4">
        <v>3</v>
      </c>
      <c r="K24" s="14">
        <v>60</v>
      </c>
      <c r="L24" s="14">
        <f>+J24*K24</f>
        <v>180</v>
      </c>
    </row>
    <row r="25" spans="2:12" x14ac:dyDescent="0.25">
      <c r="B25" s="2" t="s">
        <v>279</v>
      </c>
      <c r="C25" s="3">
        <v>308</v>
      </c>
      <c r="D25" s="3">
        <v>465</v>
      </c>
      <c r="E25" s="3">
        <v>274</v>
      </c>
      <c r="F25" s="3">
        <v>357</v>
      </c>
      <c r="I25" t="s">
        <v>280</v>
      </c>
      <c r="K25" s="4" t="s">
        <v>164</v>
      </c>
      <c r="L25" s="4" t="s">
        <v>281</v>
      </c>
    </row>
    <row r="26" spans="2:12" x14ac:dyDescent="0.25">
      <c r="B26" s="2" t="s">
        <v>282</v>
      </c>
      <c r="C26" s="3">
        <v>286</v>
      </c>
      <c r="D26" s="3">
        <v>658</v>
      </c>
      <c r="E26" s="3">
        <v>215</v>
      </c>
      <c r="F26" s="3">
        <v>568</v>
      </c>
      <c r="I26" s="4" t="s">
        <v>283</v>
      </c>
      <c r="J26" s="4">
        <v>7</v>
      </c>
      <c r="K26" s="14">
        <v>60</v>
      </c>
      <c r="L26" s="14">
        <f>+J26*K26</f>
        <v>420</v>
      </c>
    </row>
    <row r="27" spans="2:12" x14ac:dyDescent="0.25">
      <c r="B27" s="2" t="s">
        <v>284</v>
      </c>
      <c r="C27" s="3">
        <v>229</v>
      </c>
      <c r="D27" s="3">
        <v>417</v>
      </c>
      <c r="E27" s="3">
        <v>236</v>
      </c>
      <c r="F27" s="3">
        <v>149</v>
      </c>
      <c r="I27" s="4"/>
      <c r="J27" s="4"/>
      <c r="K27" s="14"/>
      <c r="L27" s="14"/>
    </row>
    <row r="28" spans="2:12" x14ac:dyDescent="0.25">
      <c r="B28" s="2" t="s">
        <v>285</v>
      </c>
      <c r="C28" s="3">
        <v>124</v>
      </c>
      <c r="D28" s="3">
        <v>385</v>
      </c>
      <c r="E28" s="3">
        <v>65</v>
      </c>
      <c r="F28" s="3">
        <v>140</v>
      </c>
    </row>
    <row r="29" spans="2:12" x14ac:dyDescent="0.25">
      <c r="B29" s="2" t="s">
        <v>286</v>
      </c>
      <c r="C29" s="3">
        <v>63</v>
      </c>
      <c r="D29" s="3">
        <v>143</v>
      </c>
      <c r="E29" s="3">
        <v>18</v>
      </c>
      <c r="F29" s="3">
        <v>63</v>
      </c>
    </row>
    <row r="30" spans="2:12" x14ac:dyDescent="0.25">
      <c r="B30" s="2" t="s">
        <v>287</v>
      </c>
      <c r="C30" s="3">
        <v>46</v>
      </c>
      <c r="D30" s="3">
        <v>82</v>
      </c>
      <c r="E30" s="3">
        <v>23</v>
      </c>
      <c r="F30" s="3">
        <v>88</v>
      </c>
    </row>
    <row r="31" spans="2:12" x14ac:dyDescent="0.25">
      <c r="B31" s="2" t="s">
        <v>288</v>
      </c>
      <c r="C31" s="3">
        <v>65</v>
      </c>
      <c r="D31" s="3">
        <v>86</v>
      </c>
      <c r="E31" s="3">
        <v>36</v>
      </c>
      <c r="F31" s="3">
        <v>63</v>
      </c>
    </row>
    <row r="32" spans="2:12" x14ac:dyDescent="0.25">
      <c r="B32" s="2" t="s">
        <v>289</v>
      </c>
      <c r="C32" s="3">
        <v>57</v>
      </c>
      <c r="D32" s="3">
        <v>81</v>
      </c>
      <c r="E32" s="3">
        <v>35</v>
      </c>
      <c r="F32" s="3">
        <v>55</v>
      </c>
    </row>
    <row r="33" spans="2:6" x14ac:dyDescent="0.25">
      <c r="B33" s="2" t="s">
        <v>290</v>
      </c>
      <c r="C33" s="3">
        <v>39</v>
      </c>
      <c r="D33" s="3">
        <v>57</v>
      </c>
      <c r="E33" s="3">
        <v>19</v>
      </c>
      <c r="F33" s="3">
        <v>53</v>
      </c>
    </row>
    <row r="34" spans="2:6" x14ac:dyDescent="0.25">
      <c r="B34" s="2" t="s">
        <v>291</v>
      </c>
      <c r="C34" s="3">
        <v>30</v>
      </c>
      <c r="D34" s="3">
        <v>34</v>
      </c>
      <c r="E34" s="3">
        <v>16</v>
      </c>
      <c r="F34" s="3">
        <v>20</v>
      </c>
    </row>
    <row r="35" spans="2:6" x14ac:dyDescent="0.25">
      <c r="B35" s="1" t="s">
        <v>36</v>
      </c>
      <c r="C35" s="1">
        <f>SUM(C9:C34)</f>
        <v>4639</v>
      </c>
      <c r="D35" s="1">
        <f>SUM(D9:D34)</f>
        <v>9493</v>
      </c>
      <c r="E35" s="1">
        <f>SUM(E9:E34)</f>
        <v>4639</v>
      </c>
      <c r="F35" s="1">
        <f>SUM(F9:F34)</f>
        <v>7483</v>
      </c>
    </row>
  </sheetData>
  <mergeCells count="1"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B57C-BC4A-4FB2-826F-C292A808891C}">
  <dimension ref="B2:L35"/>
  <sheetViews>
    <sheetView workbookViewId="0">
      <selection activeCell="C4" sqref="C4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  <col min="11" max="11" width="10.5703125" customWidth="1"/>
    <col min="12" max="12" width="14.140625" customWidth="1"/>
  </cols>
  <sheetData>
    <row r="2" spans="2:12" x14ac:dyDescent="0.25">
      <c r="B2" s="21">
        <v>45597</v>
      </c>
      <c r="C2" s="21"/>
      <c r="D2" s="21"/>
      <c r="E2" s="21"/>
      <c r="F2" s="21"/>
    </row>
    <row r="3" spans="2:12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12" x14ac:dyDescent="0.25">
      <c r="B4" s="2" t="s">
        <v>292</v>
      </c>
      <c r="C4" s="3">
        <v>20</v>
      </c>
      <c r="D4" s="3">
        <v>46</v>
      </c>
      <c r="E4" s="3">
        <v>17</v>
      </c>
      <c r="F4" s="3">
        <v>50</v>
      </c>
    </row>
    <row r="5" spans="2:12" x14ac:dyDescent="0.25">
      <c r="B5" s="2" t="s">
        <v>293</v>
      </c>
      <c r="C5" s="3">
        <v>30</v>
      </c>
      <c r="D5" s="3">
        <v>68</v>
      </c>
      <c r="E5" s="3">
        <v>14</v>
      </c>
      <c r="F5" s="3">
        <v>50</v>
      </c>
    </row>
    <row r="6" spans="2:12" x14ac:dyDescent="0.25">
      <c r="B6" s="2" t="s">
        <v>294</v>
      </c>
      <c r="C6" s="3">
        <v>41</v>
      </c>
      <c r="D6" s="3">
        <v>70</v>
      </c>
      <c r="E6" s="3">
        <v>52</v>
      </c>
      <c r="F6" s="3">
        <v>192</v>
      </c>
    </row>
    <row r="7" spans="2:12" x14ac:dyDescent="0.25">
      <c r="B7" s="2" t="s">
        <v>295</v>
      </c>
      <c r="C7" s="3">
        <v>152</v>
      </c>
      <c r="D7" s="3">
        <v>353</v>
      </c>
      <c r="E7" s="3">
        <v>252</v>
      </c>
      <c r="F7" s="3">
        <v>353</v>
      </c>
    </row>
    <row r="8" spans="2:12" x14ac:dyDescent="0.25">
      <c r="B8" s="2" t="s">
        <v>296</v>
      </c>
      <c r="C8" s="3">
        <v>220</v>
      </c>
      <c r="D8" s="3">
        <v>465</v>
      </c>
      <c r="E8" s="3">
        <v>180</v>
      </c>
      <c r="F8" s="3">
        <v>351</v>
      </c>
      <c r="J8" s="16"/>
    </row>
    <row r="9" spans="2:12" x14ac:dyDescent="0.25">
      <c r="B9" s="2" t="s">
        <v>297</v>
      </c>
      <c r="C9" s="3">
        <v>223</v>
      </c>
      <c r="D9" s="3">
        <v>590</v>
      </c>
      <c r="E9" s="3">
        <v>170</v>
      </c>
      <c r="F9" s="3">
        <v>519</v>
      </c>
      <c r="J9" s="16"/>
    </row>
    <row r="10" spans="2:12" x14ac:dyDescent="0.25">
      <c r="B10" s="2" t="s">
        <v>298</v>
      </c>
      <c r="C10" s="3">
        <v>207</v>
      </c>
      <c r="D10" s="3">
        <v>384</v>
      </c>
      <c r="E10" s="3">
        <v>242</v>
      </c>
      <c r="F10" s="3">
        <v>372</v>
      </c>
      <c r="J10" s="16"/>
    </row>
    <row r="11" spans="2:12" x14ac:dyDescent="0.25">
      <c r="B11" s="2" t="s">
        <v>299</v>
      </c>
      <c r="C11" s="3">
        <v>208</v>
      </c>
      <c r="D11" s="3">
        <v>405</v>
      </c>
      <c r="E11" s="3">
        <v>198</v>
      </c>
      <c r="F11" s="3">
        <v>361</v>
      </c>
      <c r="J11" s="16"/>
    </row>
    <row r="12" spans="2:12" x14ac:dyDescent="0.25">
      <c r="B12" s="2" t="s">
        <v>300</v>
      </c>
      <c r="C12" s="3">
        <v>130</v>
      </c>
      <c r="D12" s="3">
        <v>412</v>
      </c>
      <c r="E12" s="3">
        <v>59</v>
      </c>
      <c r="F12" s="3">
        <v>152</v>
      </c>
      <c r="J12" s="16"/>
    </row>
    <row r="13" spans="2:12" x14ac:dyDescent="0.25">
      <c r="B13" s="2" t="s">
        <v>301</v>
      </c>
      <c r="C13" s="3">
        <v>115</v>
      </c>
      <c r="D13" s="3">
        <v>291</v>
      </c>
      <c r="E13" s="3">
        <v>202</v>
      </c>
      <c r="F13" s="3">
        <v>362</v>
      </c>
    </row>
    <row r="14" spans="2:12" ht="18.75" x14ac:dyDescent="0.3">
      <c r="B14" s="2" t="s">
        <v>302</v>
      </c>
      <c r="C14" s="3">
        <v>160</v>
      </c>
      <c r="D14" s="3">
        <v>518</v>
      </c>
      <c r="E14" s="3">
        <v>344</v>
      </c>
      <c r="F14" s="3">
        <v>406</v>
      </c>
      <c r="I14" s="17"/>
      <c r="J14" s="18"/>
      <c r="K14" s="18"/>
      <c r="L14" s="17"/>
    </row>
    <row r="15" spans="2:12" x14ac:dyDescent="0.25">
      <c r="B15" s="2" t="s">
        <v>303</v>
      </c>
      <c r="C15" s="3">
        <v>255</v>
      </c>
      <c r="D15" s="3">
        <v>512</v>
      </c>
      <c r="E15" s="3">
        <v>204</v>
      </c>
      <c r="F15" s="3">
        <v>177</v>
      </c>
      <c r="J15" s="19"/>
      <c r="K15" s="19"/>
    </row>
    <row r="16" spans="2:12" x14ac:dyDescent="0.25">
      <c r="B16" s="2" t="s">
        <v>304</v>
      </c>
      <c r="C16" s="3">
        <v>208</v>
      </c>
      <c r="D16" s="3">
        <v>635</v>
      </c>
      <c r="E16" s="3">
        <v>219</v>
      </c>
      <c r="F16" s="3">
        <v>578</v>
      </c>
      <c r="J16" s="19"/>
      <c r="K16" s="19"/>
    </row>
    <row r="17" spans="2:12" x14ac:dyDescent="0.25">
      <c r="B17" s="2" t="s">
        <v>305</v>
      </c>
      <c r="C17" s="3">
        <v>212</v>
      </c>
      <c r="D17" s="3">
        <v>435</v>
      </c>
      <c r="E17" s="3">
        <v>265</v>
      </c>
      <c r="F17" s="3">
        <v>221</v>
      </c>
      <c r="J17" s="19"/>
      <c r="K17" s="19"/>
    </row>
    <row r="18" spans="2:12" x14ac:dyDescent="0.25">
      <c r="B18" s="2" t="s">
        <v>306</v>
      </c>
      <c r="C18" s="3">
        <v>132</v>
      </c>
      <c r="D18" s="3">
        <v>371</v>
      </c>
      <c r="E18" s="3">
        <v>133</v>
      </c>
      <c r="F18" s="3">
        <v>298</v>
      </c>
      <c r="J18" s="19"/>
      <c r="K18" s="20"/>
    </row>
    <row r="19" spans="2:12" x14ac:dyDescent="0.25">
      <c r="B19" s="2" t="s">
        <v>307</v>
      </c>
      <c r="C19" s="3">
        <v>110</v>
      </c>
      <c r="D19" s="3">
        <v>356</v>
      </c>
      <c r="E19" s="3">
        <v>60</v>
      </c>
      <c r="F19" s="3">
        <v>159</v>
      </c>
      <c r="J19" s="19"/>
      <c r="K19" s="19"/>
    </row>
    <row r="20" spans="2:12" x14ac:dyDescent="0.25">
      <c r="B20" s="2" t="s">
        <v>308</v>
      </c>
      <c r="C20" s="3">
        <v>100</v>
      </c>
      <c r="D20" s="3">
        <v>242</v>
      </c>
      <c r="E20" s="3">
        <v>182</v>
      </c>
      <c r="F20" s="3">
        <v>362</v>
      </c>
      <c r="J20" s="19"/>
      <c r="K20" s="19"/>
    </row>
    <row r="21" spans="2:12" x14ac:dyDescent="0.25">
      <c r="B21" s="2" t="s">
        <v>309</v>
      </c>
      <c r="C21" s="3">
        <v>177</v>
      </c>
      <c r="D21" s="3">
        <v>478</v>
      </c>
      <c r="E21" s="3">
        <v>362</v>
      </c>
      <c r="F21" s="3">
        <v>385</v>
      </c>
      <c r="J21" s="19"/>
      <c r="K21" s="19"/>
    </row>
    <row r="22" spans="2:12" x14ac:dyDescent="0.25">
      <c r="B22" s="2" t="s">
        <v>310</v>
      </c>
      <c r="C22" s="3">
        <v>261</v>
      </c>
      <c r="D22" s="3">
        <v>456</v>
      </c>
      <c r="E22" s="3">
        <v>237</v>
      </c>
      <c r="F22" s="3">
        <v>282</v>
      </c>
      <c r="J22" s="19"/>
      <c r="K22" s="19"/>
    </row>
    <row r="23" spans="2:12" x14ac:dyDescent="0.25">
      <c r="B23" s="2" t="s">
        <v>311</v>
      </c>
      <c r="C23" s="3">
        <v>155</v>
      </c>
      <c r="D23" s="3">
        <v>522</v>
      </c>
      <c r="E23" s="3">
        <v>156</v>
      </c>
      <c r="F23" s="3">
        <v>497</v>
      </c>
      <c r="I23" s="4"/>
    </row>
    <row r="24" spans="2:12" x14ac:dyDescent="0.25">
      <c r="B24" s="2" t="s">
        <v>312</v>
      </c>
      <c r="C24" s="3">
        <v>154</v>
      </c>
      <c r="D24" s="3">
        <v>337</v>
      </c>
      <c r="E24" s="3">
        <v>283</v>
      </c>
      <c r="F24" s="3">
        <v>299</v>
      </c>
      <c r="I24" s="4"/>
      <c r="J24" s="4"/>
      <c r="K24" s="14"/>
      <c r="L24" s="14"/>
    </row>
    <row r="25" spans="2:12" x14ac:dyDescent="0.25">
      <c r="B25" s="2" t="s">
        <v>313</v>
      </c>
      <c r="C25" s="3">
        <v>143</v>
      </c>
      <c r="D25" s="3">
        <v>323</v>
      </c>
      <c r="E25" s="3">
        <v>154</v>
      </c>
      <c r="F25" s="3">
        <v>331</v>
      </c>
      <c r="K25" s="4"/>
      <c r="L25" s="4"/>
    </row>
    <row r="26" spans="2:12" x14ac:dyDescent="0.25">
      <c r="B26" s="2" t="s">
        <v>314</v>
      </c>
      <c r="C26" s="3">
        <v>116</v>
      </c>
      <c r="D26" s="3">
        <v>369</v>
      </c>
      <c r="E26" s="3">
        <v>73</v>
      </c>
      <c r="F26" s="3">
        <v>135</v>
      </c>
      <c r="I26" s="4"/>
      <c r="J26" s="4"/>
      <c r="K26" s="14"/>
      <c r="L26" s="14"/>
    </row>
    <row r="27" spans="2:12" x14ac:dyDescent="0.25">
      <c r="B27" s="2" t="s">
        <v>315</v>
      </c>
      <c r="C27" s="3">
        <v>116</v>
      </c>
      <c r="D27" s="3">
        <v>232</v>
      </c>
      <c r="E27" s="3">
        <v>149</v>
      </c>
      <c r="F27" s="3">
        <v>350</v>
      </c>
      <c r="I27" s="4"/>
      <c r="J27" s="4"/>
      <c r="K27" s="14"/>
      <c r="L27" s="14"/>
    </row>
    <row r="28" spans="2:12" x14ac:dyDescent="0.25">
      <c r="B28" s="2" t="s">
        <v>316</v>
      </c>
      <c r="C28" s="3">
        <v>172</v>
      </c>
      <c r="D28" s="3">
        <v>354</v>
      </c>
      <c r="E28" s="3">
        <v>260</v>
      </c>
      <c r="F28" s="3">
        <v>276</v>
      </c>
    </row>
    <row r="29" spans="2:12" x14ac:dyDescent="0.25">
      <c r="B29" s="2" t="s">
        <v>317</v>
      </c>
      <c r="C29" s="3">
        <v>185</v>
      </c>
      <c r="D29" s="3">
        <v>377</v>
      </c>
      <c r="E29" s="3">
        <v>241</v>
      </c>
      <c r="F29" s="3">
        <v>294</v>
      </c>
    </row>
    <row r="30" spans="2:12" x14ac:dyDescent="0.25">
      <c r="B30" s="2" t="s">
        <v>318</v>
      </c>
      <c r="C30" s="3">
        <v>205</v>
      </c>
      <c r="D30" s="3">
        <v>463</v>
      </c>
      <c r="E30" s="3">
        <v>148</v>
      </c>
      <c r="F30" s="3">
        <v>474</v>
      </c>
    </row>
    <row r="31" spans="2:12" x14ac:dyDescent="0.25">
      <c r="B31" s="2" t="s">
        <v>319</v>
      </c>
      <c r="C31" s="3">
        <v>189</v>
      </c>
      <c r="D31" s="3">
        <v>348</v>
      </c>
      <c r="E31" s="3">
        <v>294</v>
      </c>
      <c r="F31" s="3">
        <v>335</v>
      </c>
    </row>
    <row r="32" spans="2:12" x14ac:dyDescent="0.25">
      <c r="B32" s="2" t="s">
        <v>320</v>
      </c>
      <c r="C32" s="3">
        <v>174</v>
      </c>
      <c r="D32" s="3">
        <v>376</v>
      </c>
      <c r="E32" s="3">
        <v>203</v>
      </c>
      <c r="F32" s="3">
        <v>369</v>
      </c>
    </row>
    <row r="33" spans="2:6" x14ac:dyDescent="0.25">
      <c r="B33" s="2" t="s">
        <v>321</v>
      </c>
      <c r="C33" s="3">
        <v>159</v>
      </c>
      <c r="D33" s="3">
        <v>447</v>
      </c>
      <c r="E33" s="3">
        <v>85</v>
      </c>
      <c r="F33" s="3">
        <v>189</v>
      </c>
    </row>
    <row r="34" spans="2:6" x14ac:dyDescent="0.25">
      <c r="B34" s="2"/>
      <c r="C34" s="3"/>
      <c r="D34" s="3"/>
      <c r="E34" s="3"/>
      <c r="F34" s="3"/>
    </row>
    <row r="35" spans="2:6" x14ac:dyDescent="0.25">
      <c r="B35" s="1" t="s">
        <v>36</v>
      </c>
      <c r="C35" s="1">
        <f>SUM(C9:C34)</f>
        <v>4266</v>
      </c>
      <c r="D35" s="1">
        <f>SUM(D9:D34)</f>
        <v>10233</v>
      </c>
      <c r="E35" s="1">
        <f>SUM(E9:E34)</f>
        <v>4923</v>
      </c>
      <c r="F35" s="1">
        <f>SUM(F9:F34)</f>
        <v>8183</v>
      </c>
    </row>
  </sheetData>
  <mergeCells count="1"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9295-C44D-4D82-A7E8-E460D0EA998A}">
  <dimension ref="B2:L35"/>
  <sheetViews>
    <sheetView workbookViewId="0">
      <selection activeCell="I5" sqref="I5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  <col min="11" max="11" width="10.5703125" customWidth="1"/>
    <col min="12" max="12" width="14.140625" customWidth="1"/>
  </cols>
  <sheetData>
    <row r="2" spans="2:12" x14ac:dyDescent="0.25">
      <c r="B2" s="21">
        <v>45627</v>
      </c>
      <c r="C2" s="21"/>
      <c r="D2" s="21"/>
      <c r="E2" s="21"/>
      <c r="F2" s="21"/>
    </row>
    <row r="3" spans="2:12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12" x14ac:dyDescent="0.25">
      <c r="B4" s="2" t="s">
        <v>322</v>
      </c>
      <c r="C4" s="3">
        <v>108</v>
      </c>
      <c r="D4" s="3">
        <v>238</v>
      </c>
      <c r="E4" s="3">
        <v>173</v>
      </c>
      <c r="F4" s="3">
        <v>387</v>
      </c>
    </row>
    <row r="5" spans="2:12" x14ac:dyDescent="0.25">
      <c r="B5" s="2" t="s">
        <v>323</v>
      </c>
      <c r="C5" s="3">
        <v>172</v>
      </c>
      <c r="D5" s="3">
        <v>460</v>
      </c>
      <c r="E5" s="3">
        <v>295</v>
      </c>
      <c r="F5" s="3">
        <v>310</v>
      </c>
    </row>
    <row r="6" spans="2:12" x14ac:dyDescent="0.25">
      <c r="B6" s="2" t="s">
        <v>324</v>
      </c>
      <c r="C6" s="3">
        <v>206</v>
      </c>
      <c r="D6" s="3">
        <v>441</v>
      </c>
      <c r="E6" s="3">
        <v>267</v>
      </c>
      <c r="F6" s="3">
        <v>326</v>
      </c>
    </row>
    <row r="7" spans="2:12" x14ac:dyDescent="0.25">
      <c r="B7" s="2" t="s">
        <v>325</v>
      </c>
      <c r="C7" s="3">
        <v>248</v>
      </c>
      <c r="D7" s="3">
        <v>531</v>
      </c>
      <c r="E7" s="3">
        <v>216</v>
      </c>
      <c r="F7" s="3">
        <v>576</v>
      </c>
    </row>
    <row r="8" spans="2:12" x14ac:dyDescent="0.25">
      <c r="B8" s="2" t="s">
        <v>326</v>
      </c>
      <c r="C8" s="3">
        <v>231</v>
      </c>
      <c r="D8" s="3">
        <v>352</v>
      </c>
      <c r="E8" s="3">
        <v>390</v>
      </c>
      <c r="F8" s="3">
        <v>326</v>
      </c>
      <c r="J8" s="16"/>
    </row>
    <row r="9" spans="2:12" x14ac:dyDescent="0.25">
      <c r="B9" s="2" t="s">
        <v>327</v>
      </c>
      <c r="C9" s="3">
        <v>205</v>
      </c>
      <c r="D9" s="3">
        <v>383</v>
      </c>
      <c r="E9" s="3">
        <v>296</v>
      </c>
      <c r="F9" s="3">
        <v>481</v>
      </c>
      <c r="J9" s="16"/>
    </row>
    <row r="10" spans="2:12" x14ac:dyDescent="0.25">
      <c r="B10" s="2" t="s">
        <v>328</v>
      </c>
      <c r="C10" s="3">
        <v>196</v>
      </c>
      <c r="D10" s="3">
        <v>508</v>
      </c>
      <c r="E10" s="3">
        <v>69</v>
      </c>
      <c r="F10" s="3"/>
      <c r="J10" s="16"/>
    </row>
    <row r="11" spans="2:12" x14ac:dyDescent="0.25">
      <c r="B11" s="2" t="s">
        <v>329</v>
      </c>
      <c r="C11" s="23" t="s">
        <v>353</v>
      </c>
      <c r="D11" s="24"/>
      <c r="E11" s="24"/>
      <c r="F11" s="25"/>
      <c r="J11" s="16"/>
    </row>
    <row r="12" spans="2:12" x14ac:dyDescent="0.25">
      <c r="B12" s="2" t="s">
        <v>330</v>
      </c>
      <c r="C12" s="26"/>
      <c r="D12" s="27"/>
      <c r="E12" s="27"/>
      <c r="F12" s="28"/>
      <c r="J12" s="16"/>
    </row>
    <row r="13" spans="2:12" x14ac:dyDescent="0.25">
      <c r="B13" s="2" t="s">
        <v>331</v>
      </c>
      <c r="C13" s="26"/>
      <c r="D13" s="27"/>
      <c r="E13" s="27"/>
      <c r="F13" s="28"/>
    </row>
    <row r="14" spans="2:12" ht="18.75" x14ac:dyDescent="0.3">
      <c r="B14" s="2" t="s">
        <v>332</v>
      </c>
      <c r="C14" s="26"/>
      <c r="D14" s="27"/>
      <c r="E14" s="27"/>
      <c r="F14" s="28"/>
      <c r="I14" s="17"/>
      <c r="J14" s="18"/>
      <c r="K14" s="18"/>
      <c r="L14" s="17"/>
    </row>
    <row r="15" spans="2:12" x14ac:dyDescent="0.25">
      <c r="B15" s="2" t="s">
        <v>333</v>
      </c>
      <c r="C15" s="26"/>
      <c r="D15" s="27"/>
      <c r="E15" s="27"/>
      <c r="F15" s="28"/>
      <c r="J15" s="19"/>
      <c r="K15" s="19"/>
    </row>
    <row r="16" spans="2:12" x14ac:dyDescent="0.25">
      <c r="B16" s="2" t="s">
        <v>334</v>
      </c>
      <c r="C16" s="26"/>
      <c r="D16" s="27"/>
      <c r="E16" s="27"/>
      <c r="F16" s="28"/>
      <c r="J16" s="19"/>
      <c r="K16" s="19"/>
    </row>
    <row r="17" spans="2:12" x14ac:dyDescent="0.25">
      <c r="B17" s="2" t="s">
        <v>335</v>
      </c>
      <c r="C17" s="26"/>
      <c r="D17" s="27"/>
      <c r="E17" s="27"/>
      <c r="F17" s="28"/>
      <c r="J17" s="19"/>
      <c r="K17" s="19"/>
    </row>
    <row r="18" spans="2:12" x14ac:dyDescent="0.25">
      <c r="B18" s="2" t="s">
        <v>336</v>
      </c>
      <c r="C18" s="26"/>
      <c r="D18" s="27"/>
      <c r="E18" s="27"/>
      <c r="F18" s="28"/>
      <c r="J18" s="19"/>
      <c r="K18" s="20"/>
    </row>
    <row r="19" spans="2:12" x14ac:dyDescent="0.25">
      <c r="B19" s="2" t="s">
        <v>337</v>
      </c>
      <c r="C19" s="26"/>
      <c r="D19" s="27"/>
      <c r="E19" s="27"/>
      <c r="F19" s="28"/>
      <c r="J19" s="19"/>
      <c r="K19" s="19"/>
    </row>
    <row r="20" spans="2:12" x14ac:dyDescent="0.25">
      <c r="B20" s="2" t="s">
        <v>338</v>
      </c>
      <c r="C20" s="26"/>
      <c r="D20" s="27"/>
      <c r="E20" s="27"/>
      <c r="F20" s="28"/>
      <c r="J20" s="19"/>
      <c r="K20" s="19"/>
    </row>
    <row r="21" spans="2:12" x14ac:dyDescent="0.25">
      <c r="B21" s="2" t="s">
        <v>339</v>
      </c>
      <c r="C21" s="26"/>
      <c r="D21" s="27"/>
      <c r="E21" s="27"/>
      <c r="F21" s="28"/>
      <c r="J21" s="19"/>
      <c r="K21" s="19"/>
    </row>
    <row r="22" spans="2:12" x14ac:dyDescent="0.25">
      <c r="B22" s="2" t="s">
        <v>340</v>
      </c>
      <c r="C22" s="26"/>
      <c r="D22" s="27"/>
      <c r="E22" s="27"/>
      <c r="F22" s="28"/>
      <c r="J22" s="19"/>
      <c r="K22" s="19"/>
    </row>
    <row r="23" spans="2:12" x14ac:dyDescent="0.25">
      <c r="B23" s="2" t="s">
        <v>341</v>
      </c>
      <c r="C23" s="26"/>
      <c r="D23" s="27"/>
      <c r="E23" s="27"/>
      <c r="F23" s="28"/>
      <c r="I23" s="4"/>
    </row>
    <row r="24" spans="2:12" x14ac:dyDescent="0.25">
      <c r="B24" s="2" t="s">
        <v>342</v>
      </c>
      <c r="C24" s="26"/>
      <c r="D24" s="27"/>
      <c r="E24" s="27"/>
      <c r="F24" s="28"/>
      <c r="I24" s="4"/>
      <c r="J24" s="4"/>
      <c r="K24" s="14"/>
      <c r="L24" s="14"/>
    </row>
    <row r="25" spans="2:12" x14ac:dyDescent="0.25">
      <c r="B25" s="2" t="s">
        <v>343</v>
      </c>
      <c r="C25" s="26"/>
      <c r="D25" s="27"/>
      <c r="E25" s="27"/>
      <c r="F25" s="28"/>
      <c r="K25" s="4"/>
      <c r="L25" s="4"/>
    </row>
    <row r="26" spans="2:12" x14ac:dyDescent="0.25">
      <c r="B26" s="2" t="s">
        <v>344</v>
      </c>
      <c r="C26" s="29"/>
      <c r="D26" s="30"/>
      <c r="E26" s="30"/>
      <c r="F26" s="31"/>
      <c r="I26" s="4"/>
      <c r="J26" s="4"/>
      <c r="K26" s="14"/>
      <c r="L26" s="14"/>
    </row>
    <row r="27" spans="2:12" x14ac:dyDescent="0.25">
      <c r="B27" s="2" t="s">
        <v>345</v>
      </c>
      <c r="C27" s="3">
        <v>30</v>
      </c>
      <c r="D27" s="3">
        <v>63</v>
      </c>
      <c r="E27" s="3">
        <v>5</v>
      </c>
      <c r="F27" s="3">
        <v>41</v>
      </c>
      <c r="I27" s="4"/>
      <c r="J27" s="4"/>
      <c r="K27" s="14"/>
      <c r="L27" s="14"/>
    </row>
    <row r="28" spans="2:12" x14ac:dyDescent="0.25">
      <c r="B28" s="2" t="s">
        <v>346</v>
      </c>
      <c r="C28" s="3">
        <v>23</v>
      </c>
      <c r="D28" s="3">
        <v>72</v>
      </c>
      <c r="E28" s="3">
        <v>3</v>
      </c>
      <c r="F28" s="3">
        <v>55</v>
      </c>
    </row>
    <row r="29" spans="2:12" x14ac:dyDescent="0.25">
      <c r="B29" s="2" t="s">
        <v>347</v>
      </c>
      <c r="C29" s="3">
        <v>23</v>
      </c>
      <c r="D29" s="3">
        <v>43</v>
      </c>
      <c r="E29" s="3">
        <v>22</v>
      </c>
      <c r="F29" s="3">
        <v>31</v>
      </c>
    </row>
    <row r="30" spans="2:12" x14ac:dyDescent="0.25">
      <c r="B30" s="2" t="s">
        <v>348</v>
      </c>
      <c r="C30" s="3">
        <v>17</v>
      </c>
      <c r="D30" s="3">
        <v>64</v>
      </c>
      <c r="E30" s="3">
        <v>11</v>
      </c>
      <c r="F30" s="3">
        <v>65</v>
      </c>
    </row>
    <row r="31" spans="2:12" x14ac:dyDescent="0.25">
      <c r="B31" s="2" t="s">
        <v>349</v>
      </c>
      <c r="C31" s="3">
        <v>17</v>
      </c>
      <c r="D31" s="3">
        <v>58</v>
      </c>
      <c r="E31" s="3">
        <v>17</v>
      </c>
      <c r="F31" s="3">
        <v>21</v>
      </c>
    </row>
    <row r="32" spans="2:12" x14ac:dyDescent="0.25">
      <c r="B32" s="2" t="s">
        <v>350</v>
      </c>
      <c r="C32" s="3">
        <v>20</v>
      </c>
      <c r="D32" s="3">
        <v>39</v>
      </c>
      <c r="E32" s="3">
        <v>11</v>
      </c>
      <c r="F32" s="3">
        <v>54</v>
      </c>
    </row>
    <row r="33" spans="2:6" x14ac:dyDescent="0.25">
      <c r="B33" s="2" t="s">
        <v>351</v>
      </c>
      <c r="C33" s="3">
        <v>33</v>
      </c>
      <c r="D33" s="3">
        <v>62</v>
      </c>
      <c r="E33" s="3">
        <v>22</v>
      </c>
      <c r="F33" s="3">
        <v>43</v>
      </c>
    </row>
    <row r="34" spans="2:6" x14ac:dyDescent="0.25">
      <c r="B34" s="2" t="s">
        <v>352</v>
      </c>
      <c r="C34" s="3">
        <v>26</v>
      </c>
      <c r="D34" s="3">
        <v>75</v>
      </c>
      <c r="E34" s="3">
        <v>10</v>
      </c>
      <c r="F34" s="3">
        <v>30</v>
      </c>
    </row>
    <row r="35" spans="2:6" x14ac:dyDescent="0.25">
      <c r="B35" s="1" t="s">
        <v>36</v>
      </c>
      <c r="C35" s="1">
        <f>SUM(C9:C34)</f>
        <v>590</v>
      </c>
      <c r="D35" s="1">
        <f>SUM(D9:D34)</f>
        <v>1367</v>
      </c>
      <c r="E35" s="1">
        <f>SUM(E9:E34)</f>
        <v>466</v>
      </c>
      <c r="F35" s="1">
        <f>SUM(F9:F34)</f>
        <v>821</v>
      </c>
    </row>
  </sheetData>
  <mergeCells count="2">
    <mergeCell ref="B2:F2"/>
    <mergeCell ref="C11:F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DB42-E5B0-48CB-8FA1-459945CE494D}">
  <dimension ref="B2:K35"/>
  <sheetViews>
    <sheetView workbookViewId="0">
      <selection activeCell="G14" sqref="G14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11" x14ac:dyDescent="0.25">
      <c r="B2" s="21">
        <v>45658</v>
      </c>
      <c r="C2" s="21"/>
      <c r="D2" s="21"/>
      <c r="E2" s="21"/>
      <c r="F2" s="21"/>
    </row>
    <row r="3" spans="2:1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11" x14ac:dyDescent="0.25">
      <c r="B4" s="2" t="s">
        <v>354</v>
      </c>
      <c r="C4" s="3">
        <v>35</v>
      </c>
      <c r="D4" s="3">
        <v>132</v>
      </c>
      <c r="E4" s="3">
        <v>12</v>
      </c>
      <c r="F4" s="3">
        <v>96</v>
      </c>
    </row>
    <row r="5" spans="2:11" x14ac:dyDescent="0.25">
      <c r="B5" s="2" t="s">
        <v>355</v>
      </c>
      <c r="C5" s="3">
        <v>50</v>
      </c>
      <c r="D5" s="3">
        <v>185</v>
      </c>
      <c r="E5" s="3">
        <v>51</v>
      </c>
      <c r="F5" s="3">
        <v>118</v>
      </c>
    </row>
    <row r="6" spans="2:11" x14ac:dyDescent="0.25">
      <c r="B6" s="2" t="s">
        <v>356</v>
      </c>
      <c r="C6" s="3">
        <v>32</v>
      </c>
      <c r="D6" s="3">
        <v>236</v>
      </c>
      <c r="E6" s="3">
        <v>40</v>
      </c>
      <c r="F6" s="3">
        <v>180</v>
      </c>
    </row>
    <row r="7" spans="2:11" x14ac:dyDescent="0.25">
      <c r="B7" s="2" t="s">
        <v>357</v>
      </c>
      <c r="C7" s="3">
        <v>73</v>
      </c>
      <c r="D7" s="3">
        <v>252</v>
      </c>
      <c r="E7" s="3">
        <v>23</v>
      </c>
      <c r="F7" s="3">
        <v>123</v>
      </c>
    </row>
    <row r="8" spans="2:11" x14ac:dyDescent="0.25">
      <c r="B8" s="2" t="s">
        <v>358</v>
      </c>
      <c r="C8" s="3">
        <v>61</v>
      </c>
      <c r="D8" s="3">
        <v>207</v>
      </c>
      <c r="E8" s="3">
        <v>55</v>
      </c>
      <c r="F8" s="3">
        <v>412</v>
      </c>
      <c r="I8" s="32" t="s">
        <v>189</v>
      </c>
      <c r="J8" s="32" t="s">
        <v>164</v>
      </c>
      <c r="K8" s="32" t="s">
        <v>281</v>
      </c>
    </row>
    <row r="9" spans="2:11" x14ac:dyDescent="0.25">
      <c r="B9" s="2" t="s">
        <v>359</v>
      </c>
      <c r="C9" s="3">
        <v>231</v>
      </c>
      <c r="D9" s="3">
        <v>588</v>
      </c>
      <c r="E9" s="3">
        <v>205</v>
      </c>
      <c r="F9" s="3">
        <v>396</v>
      </c>
      <c r="I9" s="4">
        <v>69</v>
      </c>
      <c r="J9" s="14">
        <v>60</v>
      </c>
      <c r="K9" s="14">
        <f>+I9*J9</f>
        <v>4140</v>
      </c>
    </row>
    <row r="10" spans="2:11" x14ac:dyDescent="0.25">
      <c r="B10" s="2" t="s">
        <v>360</v>
      </c>
      <c r="C10" s="3">
        <v>235</v>
      </c>
      <c r="D10" s="3">
        <v>591</v>
      </c>
      <c r="E10" s="3">
        <v>272</v>
      </c>
      <c r="F10" s="3">
        <v>438</v>
      </c>
    </row>
    <row r="11" spans="2:11" x14ac:dyDescent="0.25">
      <c r="B11" s="2" t="s">
        <v>361</v>
      </c>
      <c r="C11" s="3">
        <v>251</v>
      </c>
      <c r="D11" s="3">
        <v>674</v>
      </c>
      <c r="E11" s="3">
        <v>228</v>
      </c>
      <c r="F11" s="3">
        <v>624</v>
      </c>
    </row>
    <row r="12" spans="2:11" x14ac:dyDescent="0.25">
      <c r="B12" s="2" t="s">
        <v>362</v>
      </c>
      <c r="C12" s="3">
        <v>260</v>
      </c>
      <c r="D12" s="3">
        <v>582</v>
      </c>
      <c r="E12" s="3">
        <v>370</v>
      </c>
      <c r="F12" s="3">
        <v>416</v>
      </c>
    </row>
    <row r="13" spans="2:11" x14ac:dyDescent="0.25">
      <c r="B13" s="2" t="s">
        <v>363</v>
      </c>
      <c r="C13" s="3">
        <v>236</v>
      </c>
      <c r="D13" s="3">
        <v>531</v>
      </c>
      <c r="E13" s="3">
        <v>192</v>
      </c>
      <c r="F13" s="3">
        <v>399</v>
      </c>
    </row>
    <row r="14" spans="2:11" x14ac:dyDescent="0.25">
      <c r="B14" s="2" t="s">
        <v>364</v>
      </c>
      <c r="C14" s="3">
        <v>109</v>
      </c>
      <c r="D14" s="3">
        <v>417</v>
      </c>
      <c r="E14" s="3">
        <v>60</v>
      </c>
      <c r="F14" s="3">
        <v>148</v>
      </c>
    </row>
    <row r="15" spans="2:11" x14ac:dyDescent="0.25">
      <c r="B15" s="2" t="s">
        <v>365</v>
      </c>
      <c r="C15" s="3">
        <v>90</v>
      </c>
      <c r="D15" s="3">
        <v>278</v>
      </c>
      <c r="E15" s="3">
        <v>156</v>
      </c>
      <c r="F15" s="3">
        <v>429</v>
      </c>
    </row>
    <row r="16" spans="2:11" x14ac:dyDescent="0.25">
      <c r="B16" s="2" t="s">
        <v>366</v>
      </c>
      <c r="C16" s="3">
        <v>242</v>
      </c>
      <c r="D16" s="3">
        <v>565</v>
      </c>
      <c r="E16" s="3">
        <v>296</v>
      </c>
      <c r="F16" s="3">
        <v>442</v>
      </c>
    </row>
    <row r="17" spans="2:6" x14ac:dyDescent="0.25">
      <c r="B17" s="2" t="s">
        <v>367</v>
      </c>
      <c r="C17" s="3">
        <v>302</v>
      </c>
      <c r="D17" s="3">
        <v>575</v>
      </c>
      <c r="E17" s="3">
        <v>312</v>
      </c>
      <c r="F17" s="3">
        <v>411</v>
      </c>
    </row>
    <row r="18" spans="2:6" x14ac:dyDescent="0.25">
      <c r="B18" s="2" t="s">
        <v>368</v>
      </c>
      <c r="C18" s="3">
        <v>253</v>
      </c>
      <c r="D18" s="3">
        <v>652</v>
      </c>
      <c r="E18" s="3">
        <v>364</v>
      </c>
      <c r="F18" s="3">
        <v>624</v>
      </c>
    </row>
    <row r="19" spans="2:6" x14ac:dyDescent="0.25">
      <c r="B19" s="2" t="s">
        <v>369</v>
      </c>
      <c r="C19" s="3">
        <v>243</v>
      </c>
      <c r="D19" s="3">
        <v>568</v>
      </c>
      <c r="E19" s="3">
        <v>374</v>
      </c>
      <c r="F19" s="3">
        <v>331</v>
      </c>
    </row>
    <row r="20" spans="2:6" x14ac:dyDescent="0.25">
      <c r="B20" s="2" t="s">
        <v>370</v>
      </c>
      <c r="C20" s="3">
        <v>267</v>
      </c>
      <c r="D20" s="3">
        <v>488</v>
      </c>
      <c r="E20" s="3">
        <v>178</v>
      </c>
      <c r="F20" s="3">
        <v>374</v>
      </c>
    </row>
    <row r="21" spans="2:6" x14ac:dyDescent="0.25">
      <c r="B21" s="2" t="s">
        <v>371</v>
      </c>
      <c r="C21" s="3">
        <v>117</v>
      </c>
      <c r="D21" s="3">
        <v>453</v>
      </c>
      <c r="E21" s="3">
        <v>58</v>
      </c>
      <c r="F21" s="3">
        <v>175</v>
      </c>
    </row>
    <row r="22" spans="2:6" x14ac:dyDescent="0.25">
      <c r="B22" s="2" t="s">
        <v>372</v>
      </c>
      <c r="C22" s="3">
        <v>88</v>
      </c>
      <c r="D22" s="3">
        <v>269</v>
      </c>
      <c r="E22" s="3">
        <v>150</v>
      </c>
      <c r="F22" s="3">
        <v>393</v>
      </c>
    </row>
    <row r="23" spans="2:6" x14ac:dyDescent="0.25">
      <c r="B23" s="2" t="s">
        <v>373</v>
      </c>
      <c r="C23" s="3">
        <v>285</v>
      </c>
      <c r="D23" s="3">
        <v>551</v>
      </c>
      <c r="E23" s="3">
        <v>282</v>
      </c>
      <c r="F23" s="3">
        <v>443</v>
      </c>
    </row>
    <row r="24" spans="2:6" x14ac:dyDescent="0.25">
      <c r="B24" s="2" t="s">
        <v>374</v>
      </c>
      <c r="C24" s="3">
        <v>355</v>
      </c>
      <c r="D24" s="3">
        <v>512</v>
      </c>
      <c r="E24" s="3">
        <v>301</v>
      </c>
      <c r="F24" s="3">
        <v>442</v>
      </c>
    </row>
    <row r="25" spans="2:6" x14ac:dyDescent="0.25">
      <c r="B25" s="2" t="s">
        <v>375</v>
      </c>
      <c r="C25" s="3">
        <v>285</v>
      </c>
      <c r="D25" s="3">
        <v>660</v>
      </c>
      <c r="E25" s="3">
        <v>306</v>
      </c>
      <c r="F25" s="3">
        <v>585</v>
      </c>
    </row>
    <row r="26" spans="2:6" x14ac:dyDescent="0.25">
      <c r="B26" s="2" t="s">
        <v>376</v>
      </c>
      <c r="C26" s="3">
        <v>248</v>
      </c>
      <c r="D26" s="3">
        <v>518</v>
      </c>
      <c r="E26" s="3">
        <v>394</v>
      </c>
      <c r="F26" s="3">
        <v>352</v>
      </c>
    </row>
    <row r="27" spans="2:6" x14ac:dyDescent="0.25">
      <c r="B27" s="2" t="s">
        <v>377</v>
      </c>
      <c r="C27" s="3">
        <v>255</v>
      </c>
      <c r="D27" s="3">
        <v>743</v>
      </c>
      <c r="E27" s="3">
        <v>170</v>
      </c>
      <c r="F27" s="3">
        <v>437</v>
      </c>
    </row>
    <row r="28" spans="2:6" x14ac:dyDescent="0.25">
      <c r="B28" s="2" t="s">
        <v>378</v>
      </c>
      <c r="C28" s="3">
        <v>200</v>
      </c>
      <c r="D28" s="3">
        <v>566</v>
      </c>
      <c r="E28" s="3">
        <v>114</v>
      </c>
      <c r="F28" s="3">
        <v>188</v>
      </c>
    </row>
    <row r="29" spans="2:6" x14ac:dyDescent="0.25">
      <c r="B29" s="2" t="s">
        <v>379</v>
      </c>
      <c r="C29" s="3">
        <v>124</v>
      </c>
      <c r="D29" s="3">
        <v>250</v>
      </c>
      <c r="E29" s="3">
        <v>161</v>
      </c>
      <c r="F29" s="3">
        <v>492</v>
      </c>
    </row>
    <row r="30" spans="2:6" x14ac:dyDescent="0.25">
      <c r="B30" s="2" t="s">
        <v>380</v>
      </c>
      <c r="C30" s="3">
        <v>285</v>
      </c>
      <c r="D30" s="3">
        <v>529</v>
      </c>
      <c r="E30" s="3">
        <v>305</v>
      </c>
      <c r="F30" s="3">
        <v>394</v>
      </c>
    </row>
    <row r="31" spans="2:6" x14ac:dyDescent="0.25">
      <c r="B31" s="2" t="s">
        <v>381</v>
      </c>
      <c r="C31" s="3">
        <v>380</v>
      </c>
      <c r="D31" s="3">
        <v>481</v>
      </c>
      <c r="E31" s="3">
        <v>359</v>
      </c>
      <c r="F31" s="3">
        <v>486</v>
      </c>
    </row>
    <row r="32" spans="2:6" x14ac:dyDescent="0.25">
      <c r="B32" s="2" t="s">
        <v>382</v>
      </c>
      <c r="C32" s="3">
        <v>292</v>
      </c>
      <c r="D32" s="3">
        <v>558</v>
      </c>
      <c r="E32" s="3">
        <v>272</v>
      </c>
      <c r="F32" s="3">
        <v>346</v>
      </c>
    </row>
    <row r="33" spans="2:6" x14ac:dyDescent="0.25">
      <c r="B33" s="2" t="s">
        <v>383</v>
      </c>
      <c r="C33" s="3">
        <v>219</v>
      </c>
      <c r="D33" s="3">
        <v>458</v>
      </c>
      <c r="E33" s="3">
        <v>387</v>
      </c>
      <c r="F33" s="3">
        <v>360</v>
      </c>
    </row>
    <row r="34" spans="2:6" x14ac:dyDescent="0.25">
      <c r="B34" s="2" t="s">
        <v>384</v>
      </c>
      <c r="C34" s="3">
        <v>245</v>
      </c>
      <c r="D34" s="3">
        <v>417</v>
      </c>
      <c r="E34" s="3">
        <v>206</v>
      </c>
      <c r="F34" s="3">
        <v>321</v>
      </c>
    </row>
    <row r="35" spans="2:6" x14ac:dyDescent="0.25">
      <c r="B35" s="1" t="s">
        <v>36</v>
      </c>
      <c r="C35" s="1">
        <f>SUM(C9:C34)</f>
        <v>6097</v>
      </c>
      <c r="D35" s="1">
        <f>SUM(D9:D34)</f>
        <v>13474</v>
      </c>
      <c r="E35" s="1">
        <f>SUM(E9:E34)</f>
        <v>6472</v>
      </c>
      <c r="F35" s="1">
        <f>SUM(F9:F34)</f>
        <v>10446</v>
      </c>
    </row>
  </sheetData>
  <mergeCells count="1">
    <mergeCell ref="B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F3EF-2D43-4FBA-B184-7D3DDC0E598B}">
  <dimension ref="B2:F35"/>
  <sheetViews>
    <sheetView workbookViewId="0">
      <selection activeCell="E7" sqref="E7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6" x14ac:dyDescent="0.25">
      <c r="B2" s="21">
        <v>45689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385</v>
      </c>
      <c r="C4" s="3">
        <v>93</v>
      </c>
      <c r="D4" s="3">
        <v>332</v>
      </c>
      <c r="E4" s="3">
        <v>38</v>
      </c>
      <c r="F4" s="3">
        <v>127</v>
      </c>
    </row>
    <row r="5" spans="2:6" x14ac:dyDescent="0.25">
      <c r="B5" s="2" t="s">
        <v>386</v>
      </c>
      <c r="C5" s="3">
        <v>41</v>
      </c>
      <c r="D5" s="3">
        <v>229</v>
      </c>
      <c r="E5" s="3">
        <v>87</v>
      </c>
      <c r="F5" s="3">
        <v>342</v>
      </c>
    </row>
    <row r="6" spans="2:6" x14ac:dyDescent="0.25">
      <c r="B6" s="2" t="s">
        <v>387</v>
      </c>
      <c r="C6" s="3">
        <v>200</v>
      </c>
      <c r="D6" s="3">
        <v>456</v>
      </c>
      <c r="E6" s="3">
        <v>229</v>
      </c>
      <c r="F6" s="3">
        <v>408</v>
      </c>
    </row>
    <row r="7" spans="2:6" x14ac:dyDescent="0.25">
      <c r="B7" s="2" t="s">
        <v>388</v>
      </c>
      <c r="C7" s="3">
        <v>218</v>
      </c>
      <c r="D7" s="3">
        <v>424</v>
      </c>
      <c r="E7" s="3">
        <v>236</v>
      </c>
      <c r="F7" s="3">
        <v>314</v>
      </c>
    </row>
    <row r="8" spans="2:6" x14ac:dyDescent="0.25">
      <c r="B8" s="2" t="s">
        <v>389</v>
      </c>
      <c r="C8" s="3">
        <v>141</v>
      </c>
      <c r="D8" s="3">
        <v>444</v>
      </c>
      <c r="E8" s="3">
        <v>239</v>
      </c>
      <c r="F8" s="3">
        <v>460</v>
      </c>
    </row>
    <row r="9" spans="2:6" x14ac:dyDescent="0.25">
      <c r="B9" s="2" t="s">
        <v>390</v>
      </c>
      <c r="C9" s="3">
        <v>193</v>
      </c>
      <c r="D9" s="3">
        <v>404</v>
      </c>
      <c r="E9" s="3">
        <v>348</v>
      </c>
      <c r="F9" s="3">
        <v>363</v>
      </c>
    </row>
    <row r="10" spans="2:6" x14ac:dyDescent="0.25">
      <c r="B10" s="2" t="s">
        <v>391</v>
      </c>
      <c r="C10" s="3">
        <v>255</v>
      </c>
      <c r="D10" s="3">
        <v>426</v>
      </c>
      <c r="E10" s="3">
        <v>180</v>
      </c>
      <c r="F10" s="3">
        <v>316</v>
      </c>
    </row>
    <row r="11" spans="2:6" x14ac:dyDescent="0.25">
      <c r="B11" s="2" t="s">
        <v>392</v>
      </c>
      <c r="C11" s="3">
        <v>110</v>
      </c>
      <c r="D11" s="3">
        <v>368</v>
      </c>
      <c r="E11" s="3">
        <v>42</v>
      </c>
      <c r="F11" s="3">
        <v>121</v>
      </c>
    </row>
    <row r="12" spans="2:6" x14ac:dyDescent="0.25">
      <c r="B12" s="2" t="s">
        <v>393</v>
      </c>
      <c r="C12" s="3">
        <v>97</v>
      </c>
      <c r="D12" s="3">
        <v>257</v>
      </c>
      <c r="E12" s="3">
        <v>141</v>
      </c>
      <c r="F12" s="3">
        <v>381</v>
      </c>
    </row>
    <row r="13" spans="2:6" x14ac:dyDescent="0.25">
      <c r="B13" s="2" t="s">
        <v>394</v>
      </c>
      <c r="C13" s="3">
        <v>268</v>
      </c>
      <c r="D13" s="3">
        <v>487</v>
      </c>
      <c r="E13" s="3">
        <v>247</v>
      </c>
      <c r="F13" s="3">
        <v>423</v>
      </c>
    </row>
    <row r="14" spans="2:6" x14ac:dyDescent="0.25">
      <c r="B14" s="2" t="s">
        <v>395</v>
      </c>
      <c r="C14" s="3">
        <v>320</v>
      </c>
      <c r="D14" s="3">
        <v>441</v>
      </c>
      <c r="E14" s="3">
        <v>306</v>
      </c>
      <c r="F14" s="3">
        <v>348</v>
      </c>
    </row>
    <row r="15" spans="2:6" x14ac:dyDescent="0.25">
      <c r="B15" s="2" t="s">
        <v>396</v>
      </c>
      <c r="C15" s="3">
        <v>187</v>
      </c>
      <c r="D15" s="3">
        <v>535</v>
      </c>
      <c r="E15" s="3">
        <v>268</v>
      </c>
      <c r="F15" s="3">
        <v>453</v>
      </c>
    </row>
    <row r="16" spans="2:6" x14ac:dyDescent="0.25">
      <c r="B16" s="2" t="s">
        <v>397</v>
      </c>
      <c r="C16" s="3">
        <v>227</v>
      </c>
      <c r="D16" s="3">
        <v>460</v>
      </c>
      <c r="E16" s="3">
        <v>359</v>
      </c>
      <c r="F16" s="3">
        <v>318</v>
      </c>
    </row>
    <row r="17" spans="2:6" x14ac:dyDescent="0.25">
      <c r="B17" s="2" t="s">
        <v>398</v>
      </c>
      <c r="C17" s="3">
        <v>202</v>
      </c>
      <c r="D17" s="3">
        <v>430</v>
      </c>
      <c r="E17" s="3">
        <v>100</v>
      </c>
      <c r="F17" s="3">
        <v>260</v>
      </c>
    </row>
    <row r="18" spans="2:6" x14ac:dyDescent="0.25">
      <c r="B18" s="2" t="s">
        <v>399</v>
      </c>
      <c r="C18" s="3">
        <v>120</v>
      </c>
      <c r="D18" s="3">
        <v>350</v>
      </c>
      <c r="E18" s="3">
        <v>41</v>
      </c>
      <c r="F18" s="3">
        <v>151</v>
      </c>
    </row>
    <row r="19" spans="2:6" x14ac:dyDescent="0.25">
      <c r="B19" s="2" t="s">
        <v>400</v>
      </c>
      <c r="C19" s="3">
        <v>114</v>
      </c>
      <c r="D19" s="3">
        <v>245</v>
      </c>
      <c r="E19" s="3">
        <v>104</v>
      </c>
      <c r="F19" s="3">
        <v>402</v>
      </c>
    </row>
    <row r="20" spans="2:6" x14ac:dyDescent="0.25">
      <c r="B20" s="2" t="s">
        <v>401</v>
      </c>
      <c r="C20" s="3">
        <v>241</v>
      </c>
      <c r="D20" s="3">
        <v>470</v>
      </c>
      <c r="E20" s="3">
        <v>193</v>
      </c>
      <c r="F20" s="3">
        <v>368</v>
      </c>
    </row>
    <row r="21" spans="2:6" x14ac:dyDescent="0.25">
      <c r="B21" s="2" t="s">
        <v>402</v>
      </c>
      <c r="C21" s="3">
        <v>293</v>
      </c>
      <c r="D21" s="3">
        <v>400</v>
      </c>
      <c r="E21" s="3">
        <v>276</v>
      </c>
      <c r="F21" s="3">
        <v>381</v>
      </c>
    </row>
    <row r="22" spans="2:6" x14ac:dyDescent="0.25">
      <c r="B22" s="2" t="s">
        <v>403</v>
      </c>
      <c r="C22" s="3">
        <v>200</v>
      </c>
      <c r="D22" s="3">
        <v>512</v>
      </c>
      <c r="E22" s="3">
        <v>321</v>
      </c>
      <c r="F22" s="3">
        <v>508</v>
      </c>
    </row>
    <row r="23" spans="2:6" x14ac:dyDescent="0.25">
      <c r="B23" s="2" t="s">
        <v>404</v>
      </c>
      <c r="C23" s="3">
        <v>219</v>
      </c>
      <c r="D23" s="3">
        <v>404</v>
      </c>
      <c r="E23" s="3">
        <v>292</v>
      </c>
      <c r="F23" s="3">
        <v>318</v>
      </c>
    </row>
    <row r="24" spans="2:6" x14ac:dyDescent="0.25">
      <c r="B24" s="2" t="s">
        <v>405</v>
      </c>
      <c r="C24" s="3">
        <v>211</v>
      </c>
      <c r="D24" s="3">
        <v>350</v>
      </c>
      <c r="E24" s="3">
        <v>162</v>
      </c>
      <c r="F24" s="3">
        <v>447</v>
      </c>
    </row>
    <row r="25" spans="2:6" x14ac:dyDescent="0.25">
      <c r="B25" s="2" t="s">
        <v>406</v>
      </c>
      <c r="C25" s="3">
        <v>212</v>
      </c>
      <c r="D25" s="3">
        <v>566</v>
      </c>
      <c r="E25" s="3">
        <v>74</v>
      </c>
      <c r="F25" s="3">
        <v>197</v>
      </c>
    </row>
    <row r="26" spans="2:6" x14ac:dyDescent="0.25">
      <c r="B26" s="2" t="s">
        <v>407</v>
      </c>
      <c r="C26" s="3">
        <v>154</v>
      </c>
      <c r="D26" s="3">
        <v>341</v>
      </c>
      <c r="E26" s="3">
        <v>209</v>
      </c>
      <c r="F26" s="3">
        <v>508</v>
      </c>
    </row>
    <row r="27" spans="2:6" x14ac:dyDescent="0.25">
      <c r="B27" s="2" t="s">
        <v>408</v>
      </c>
      <c r="C27" s="3">
        <v>210</v>
      </c>
      <c r="D27" s="3">
        <v>446</v>
      </c>
      <c r="E27" s="3">
        <v>223</v>
      </c>
      <c r="F27" s="3">
        <v>325</v>
      </c>
    </row>
    <row r="28" spans="2:6" x14ac:dyDescent="0.25">
      <c r="B28" s="2" t="s">
        <v>409</v>
      </c>
      <c r="C28" s="3">
        <v>216</v>
      </c>
      <c r="D28" s="3">
        <v>343</v>
      </c>
      <c r="E28" s="3">
        <v>277</v>
      </c>
      <c r="F28" s="3">
        <v>319</v>
      </c>
    </row>
    <row r="29" spans="2:6" x14ac:dyDescent="0.25">
      <c r="B29" s="2" t="s">
        <v>410</v>
      </c>
      <c r="C29" s="3">
        <v>142</v>
      </c>
      <c r="D29" s="3">
        <v>364</v>
      </c>
      <c r="E29" s="3">
        <v>195</v>
      </c>
      <c r="F29" s="3">
        <v>345</v>
      </c>
    </row>
    <row r="30" spans="2:6" x14ac:dyDescent="0.25">
      <c r="B30" s="2" t="s">
        <v>411</v>
      </c>
      <c r="C30" s="3">
        <v>199</v>
      </c>
      <c r="D30" s="3">
        <v>328</v>
      </c>
      <c r="E30" s="3">
        <v>282</v>
      </c>
      <c r="F30" s="3">
        <v>220</v>
      </c>
    </row>
    <row r="31" spans="2:6" x14ac:dyDescent="0.25">
      <c r="B31" s="2" t="s">
        <v>412</v>
      </c>
      <c r="C31" s="3">
        <v>156</v>
      </c>
      <c r="D31" s="3">
        <v>430</v>
      </c>
      <c r="E31" s="3">
        <v>81</v>
      </c>
      <c r="F31" s="3">
        <v>270</v>
      </c>
    </row>
    <row r="32" spans="2:6" x14ac:dyDescent="0.25">
      <c r="B32" s="2"/>
      <c r="C32" s="3"/>
      <c r="D32" s="3"/>
      <c r="E32" s="3"/>
      <c r="F32" s="3"/>
    </row>
    <row r="33" spans="2:6" x14ac:dyDescent="0.25">
      <c r="B33" s="2"/>
      <c r="C33" s="3"/>
      <c r="D33" s="3"/>
      <c r="E33" s="3"/>
      <c r="F33" s="3"/>
    </row>
    <row r="34" spans="2:6" x14ac:dyDescent="0.25">
      <c r="B34" s="2"/>
      <c r="C34" s="3"/>
      <c r="D34" s="3"/>
      <c r="E34" s="3"/>
      <c r="F34" s="3"/>
    </row>
    <row r="35" spans="2:6" x14ac:dyDescent="0.25">
      <c r="B35" s="1" t="s">
        <v>36</v>
      </c>
      <c r="C35" s="1">
        <f>SUM(C9:C34)</f>
        <v>4546</v>
      </c>
      <c r="D35" s="1">
        <f>SUM(D9:D34)</f>
        <v>9357</v>
      </c>
      <c r="E35" s="1">
        <f>SUM(E9:E34)</f>
        <v>4721</v>
      </c>
      <c r="F35" s="1">
        <f>SUM(F9:F34)</f>
        <v>7742</v>
      </c>
    </row>
  </sheetData>
  <mergeCells count="1">
    <mergeCell ref="B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46D1-BB93-417E-A40E-18E7DD33C518}">
  <dimension ref="A1:E34"/>
  <sheetViews>
    <sheetView workbookViewId="0">
      <selection activeCell="H12" sqref="H12"/>
    </sheetView>
  </sheetViews>
  <sheetFormatPr defaultRowHeight="15" x14ac:dyDescent="0.25"/>
  <cols>
    <col min="1" max="1" width="10.140625" bestFit="1" customWidth="1"/>
    <col min="4" max="4" width="12.140625" bestFit="1" customWidth="1"/>
    <col min="5" max="5" width="13.42578125" customWidth="1"/>
  </cols>
  <sheetData>
    <row r="1" spans="1:5" x14ac:dyDescent="0.25">
      <c r="A1" s="21">
        <v>45717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413</v>
      </c>
      <c r="B3" s="3">
        <v>121</v>
      </c>
      <c r="C3" s="3">
        <v>358</v>
      </c>
      <c r="D3" s="3">
        <v>32</v>
      </c>
      <c r="E3" s="3">
        <v>157</v>
      </c>
    </row>
    <row r="4" spans="1:5" x14ac:dyDescent="0.25">
      <c r="A4" s="2" t="s">
        <v>414</v>
      </c>
      <c r="B4" s="3">
        <v>116</v>
      </c>
      <c r="C4" s="3">
        <v>221</v>
      </c>
      <c r="D4" s="3">
        <v>97</v>
      </c>
      <c r="E4" s="3">
        <v>300</v>
      </c>
    </row>
    <row r="5" spans="1:5" x14ac:dyDescent="0.25">
      <c r="A5" s="2" t="s">
        <v>415</v>
      </c>
      <c r="B5" s="3">
        <v>198</v>
      </c>
      <c r="C5" s="3">
        <v>421</v>
      </c>
      <c r="D5" s="3">
        <v>160</v>
      </c>
      <c r="E5" s="3">
        <v>335</v>
      </c>
    </row>
    <row r="6" spans="1:5" x14ac:dyDescent="0.25">
      <c r="A6" s="2" t="s">
        <v>416</v>
      </c>
      <c r="B6" s="3">
        <v>266</v>
      </c>
      <c r="C6" s="3">
        <v>378</v>
      </c>
      <c r="D6" s="3">
        <v>209</v>
      </c>
      <c r="E6" s="3">
        <v>321</v>
      </c>
    </row>
    <row r="7" spans="1:5" x14ac:dyDescent="0.25">
      <c r="A7" s="2" t="s">
        <v>417</v>
      </c>
      <c r="B7" s="3">
        <v>228</v>
      </c>
      <c r="C7" s="3">
        <v>483</v>
      </c>
      <c r="D7" s="3">
        <v>146</v>
      </c>
      <c r="E7" s="3">
        <v>443</v>
      </c>
    </row>
    <row r="8" spans="1:5" x14ac:dyDescent="0.25">
      <c r="A8" s="2" t="s">
        <v>418</v>
      </c>
      <c r="B8" s="3">
        <f>188+20</f>
        <v>208</v>
      </c>
      <c r="C8" s="3">
        <v>385</v>
      </c>
      <c r="D8" s="3">
        <v>238</v>
      </c>
      <c r="E8" s="3">
        <v>235</v>
      </c>
    </row>
    <row r="9" spans="1:5" x14ac:dyDescent="0.25">
      <c r="A9" s="2" t="s">
        <v>419</v>
      </c>
      <c r="B9" s="3">
        <v>197</v>
      </c>
      <c r="C9" s="3">
        <v>366</v>
      </c>
      <c r="D9" s="3">
        <v>157</v>
      </c>
      <c r="E9" s="3">
        <v>303</v>
      </c>
    </row>
    <row r="10" spans="1:5" x14ac:dyDescent="0.25">
      <c r="A10" s="2" t="s">
        <v>420</v>
      </c>
      <c r="B10" s="3">
        <v>136</v>
      </c>
      <c r="C10" s="3">
        <v>360</v>
      </c>
      <c r="D10" s="3">
        <v>35</v>
      </c>
      <c r="E10" s="3">
        <v>90</v>
      </c>
    </row>
    <row r="11" spans="1:5" x14ac:dyDescent="0.25">
      <c r="A11" s="2" t="s">
        <v>421</v>
      </c>
      <c r="B11" s="3">
        <v>117</v>
      </c>
      <c r="C11" s="3">
        <v>178</v>
      </c>
      <c r="D11" s="3">
        <v>65</v>
      </c>
      <c r="E11" s="3">
        <v>180</v>
      </c>
    </row>
    <row r="12" spans="1:5" x14ac:dyDescent="0.25">
      <c r="A12" s="2" t="s">
        <v>422</v>
      </c>
      <c r="B12" s="3">
        <v>125</v>
      </c>
      <c r="C12" s="3">
        <v>235</v>
      </c>
      <c r="D12" s="3">
        <v>55</v>
      </c>
      <c r="E12" s="3">
        <v>126</v>
      </c>
    </row>
    <row r="13" spans="1:5" x14ac:dyDescent="0.25">
      <c r="A13" s="2" t="s">
        <v>423</v>
      </c>
      <c r="B13" s="3">
        <v>92</v>
      </c>
      <c r="C13" s="3">
        <v>133</v>
      </c>
      <c r="D13" s="3">
        <v>44</v>
      </c>
      <c r="E13" s="3">
        <v>108</v>
      </c>
    </row>
    <row r="14" spans="1:5" x14ac:dyDescent="0.25">
      <c r="A14" s="2" t="s">
        <v>424</v>
      </c>
      <c r="B14" s="3">
        <v>87</v>
      </c>
      <c r="C14" s="3">
        <v>159</v>
      </c>
      <c r="D14" s="3">
        <v>23</v>
      </c>
      <c r="E14" s="3">
        <v>145</v>
      </c>
    </row>
    <row r="15" spans="1:5" x14ac:dyDescent="0.25">
      <c r="A15" s="2" t="s">
        <v>425</v>
      </c>
      <c r="B15" s="3">
        <v>75</v>
      </c>
      <c r="C15" s="3">
        <v>175</v>
      </c>
      <c r="D15" s="3">
        <v>29</v>
      </c>
      <c r="E15" s="3">
        <v>53</v>
      </c>
    </row>
    <row r="16" spans="1:5" x14ac:dyDescent="0.25">
      <c r="A16" s="2" t="s">
        <v>426</v>
      </c>
      <c r="B16" s="3">
        <v>56</v>
      </c>
      <c r="C16" s="3">
        <v>84</v>
      </c>
      <c r="D16" s="3">
        <v>25</v>
      </c>
      <c r="E16" s="3">
        <v>77</v>
      </c>
    </row>
    <row r="17" spans="1:5" x14ac:dyDescent="0.25">
      <c r="A17" s="2" t="s">
        <v>427</v>
      </c>
      <c r="B17" s="3">
        <v>62</v>
      </c>
      <c r="C17" s="3">
        <v>111</v>
      </c>
      <c r="D17" s="3">
        <v>16</v>
      </c>
      <c r="E17" s="3">
        <v>44</v>
      </c>
    </row>
    <row r="18" spans="1:5" x14ac:dyDescent="0.25">
      <c r="A18" s="2" t="s">
        <v>428</v>
      </c>
      <c r="B18" s="3">
        <v>44</v>
      </c>
      <c r="C18" s="3">
        <v>119</v>
      </c>
      <c r="D18" s="3">
        <v>74</v>
      </c>
      <c r="E18" s="3">
        <v>230</v>
      </c>
    </row>
    <row r="19" spans="1:5" x14ac:dyDescent="0.25">
      <c r="A19" s="2" t="s">
        <v>429</v>
      </c>
      <c r="B19" s="3">
        <v>226</v>
      </c>
      <c r="C19" s="3">
        <v>384</v>
      </c>
      <c r="D19" s="3">
        <v>167</v>
      </c>
      <c r="E19" s="3">
        <v>407</v>
      </c>
    </row>
    <row r="20" spans="1:5" x14ac:dyDescent="0.25">
      <c r="A20" s="2" t="s">
        <v>430</v>
      </c>
      <c r="B20" s="3">
        <v>232</v>
      </c>
      <c r="C20" s="3">
        <v>364</v>
      </c>
      <c r="D20" s="3">
        <v>188</v>
      </c>
      <c r="E20" s="3">
        <v>337</v>
      </c>
    </row>
    <row r="21" spans="1:5" x14ac:dyDescent="0.25">
      <c r="A21" s="2" t="s">
        <v>431</v>
      </c>
      <c r="B21" s="3">
        <v>237</v>
      </c>
      <c r="C21" s="3">
        <v>498</v>
      </c>
      <c r="D21" s="3">
        <v>112</v>
      </c>
      <c r="E21" s="3">
        <v>482</v>
      </c>
    </row>
    <row r="22" spans="1:5" x14ac:dyDescent="0.25">
      <c r="A22" s="2" t="s">
        <v>432</v>
      </c>
      <c r="B22" s="3">
        <v>224</v>
      </c>
      <c r="C22" s="3">
        <v>419</v>
      </c>
      <c r="D22" s="3">
        <v>252</v>
      </c>
      <c r="E22" s="3">
        <v>259</v>
      </c>
    </row>
    <row r="23" spans="1:5" x14ac:dyDescent="0.25">
      <c r="A23" s="2" t="s">
        <v>433</v>
      </c>
      <c r="B23" s="3">
        <v>190</v>
      </c>
      <c r="C23" s="3">
        <v>278</v>
      </c>
      <c r="D23" s="3">
        <v>77</v>
      </c>
      <c r="E23" s="3">
        <v>302</v>
      </c>
    </row>
    <row r="24" spans="1:5" x14ac:dyDescent="0.25">
      <c r="A24" s="2" t="s">
        <v>434</v>
      </c>
      <c r="B24" s="3">
        <v>151</v>
      </c>
      <c r="C24" s="3">
        <v>284</v>
      </c>
      <c r="D24" s="3">
        <v>26</v>
      </c>
      <c r="E24" s="3">
        <v>118</v>
      </c>
    </row>
    <row r="25" spans="1:5" x14ac:dyDescent="0.25">
      <c r="A25" s="2" t="s">
        <v>435</v>
      </c>
      <c r="B25" s="3">
        <v>117</v>
      </c>
      <c r="C25" s="3">
        <v>207</v>
      </c>
      <c r="D25" s="3">
        <v>112</v>
      </c>
      <c r="E25" s="3">
        <v>347</v>
      </c>
    </row>
    <row r="26" spans="1:5" x14ac:dyDescent="0.25">
      <c r="A26" s="2" t="s">
        <v>436</v>
      </c>
      <c r="B26" s="3">
        <v>247</v>
      </c>
      <c r="C26" s="3">
        <v>497</v>
      </c>
      <c r="D26" s="3">
        <v>189</v>
      </c>
      <c r="E26" s="3">
        <v>432</v>
      </c>
    </row>
    <row r="27" spans="1:5" x14ac:dyDescent="0.25">
      <c r="A27" s="2" t="s">
        <v>437</v>
      </c>
      <c r="B27" s="3">
        <v>229</v>
      </c>
      <c r="C27" s="3">
        <v>364</v>
      </c>
      <c r="D27" s="3">
        <v>235</v>
      </c>
      <c r="E27" s="3">
        <v>331</v>
      </c>
    </row>
    <row r="28" spans="1:5" x14ac:dyDescent="0.25">
      <c r="A28" s="2" t="s">
        <v>438</v>
      </c>
      <c r="B28" s="3">
        <v>211</v>
      </c>
      <c r="C28" s="3">
        <v>514</v>
      </c>
      <c r="D28" s="3">
        <v>126</v>
      </c>
      <c r="E28" s="3">
        <v>479</v>
      </c>
    </row>
    <row r="29" spans="1:5" x14ac:dyDescent="0.25">
      <c r="A29" s="2" t="s">
        <v>439</v>
      </c>
      <c r="B29" s="3">
        <v>226</v>
      </c>
      <c r="C29" s="3">
        <v>425</v>
      </c>
      <c r="D29" s="3">
        <v>256</v>
      </c>
      <c r="E29" s="3">
        <v>248</v>
      </c>
    </row>
    <row r="30" spans="1:5" x14ac:dyDescent="0.25">
      <c r="A30" s="2" t="s">
        <v>440</v>
      </c>
      <c r="B30" s="3">
        <v>189</v>
      </c>
      <c r="C30" s="3">
        <v>418</v>
      </c>
      <c r="D30" s="3">
        <v>123</v>
      </c>
      <c r="E30" s="3">
        <v>257</v>
      </c>
    </row>
    <row r="31" spans="1:5" x14ac:dyDescent="0.25">
      <c r="A31" s="2" t="s">
        <v>441</v>
      </c>
      <c r="B31" s="3">
        <v>118</v>
      </c>
      <c r="C31" s="3">
        <v>314</v>
      </c>
      <c r="D31" s="3">
        <v>35</v>
      </c>
      <c r="E31" s="3">
        <v>88</v>
      </c>
    </row>
    <row r="32" spans="1:5" x14ac:dyDescent="0.25">
      <c r="A32" s="2" t="s">
        <v>442</v>
      </c>
      <c r="B32" s="3">
        <v>77</v>
      </c>
      <c r="C32" s="3">
        <v>168</v>
      </c>
      <c r="D32" s="3">
        <v>76</v>
      </c>
      <c r="E32" s="3">
        <v>251</v>
      </c>
    </row>
    <row r="33" spans="1:5" x14ac:dyDescent="0.25">
      <c r="A33" s="2" t="s">
        <v>443</v>
      </c>
      <c r="B33" s="3">
        <v>132</v>
      </c>
      <c r="C33" s="3">
        <v>277</v>
      </c>
      <c r="D33" s="3">
        <v>70</v>
      </c>
      <c r="E33" s="3">
        <v>275</v>
      </c>
    </row>
    <row r="34" spans="1:5" x14ac:dyDescent="0.25">
      <c r="A34" s="1" t="s">
        <v>36</v>
      </c>
      <c r="B34" s="1">
        <f>SUM(B8:B33)</f>
        <v>4005</v>
      </c>
      <c r="C34" s="1">
        <f>SUM(C8:C33)</f>
        <v>7716</v>
      </c>
      <c r="D34" s="1">
        <f>SUM(D8:D33)</f>
        <v>2805</v>
      </c>
      <c r="E34" s="1">
        <f>SUM(E8:E33)</f>
        <v>6204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A659-A997-4801-941D-CF6D143DC02D}">
  <dimension ref="B2:F35"/>
  <sheetViews>
    <sheetView topLeftCell="A14" workbookViewId="0">
      <selection activeCell="C19" sqref="C19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  <col min="8" max="8" width="10.140625" bestFit="1" customWidth="1"/>
    <col min="9" max="9" width="12" customWidth="1"/>
  </cols>
  <sheetData>
    <row r="2" spans="2:6" x14ac:dyDescent="0.25">
      <c r="B2" s="21">
        <v>45748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444</v>
      </c>
      <c r="C4" s="3">
        <v>221</v>
      </c>
      <c r="D4" s="3">
        <v>309</v>
      </c>
      <c r="E4" s="3">
        <v>160</v>
      </c>
      <c r="F4" s="3">
        <v>342</v>
      </c>
    </row>
    <row r="5" spans="2:6" x14ac:dyDescent="0.25">
      <c r="B5" s="2" t="s">
        <v>445</v>
      </c>
      <c r="C5" s="3">
        <v>202</v>
      </c>
      <c r="D5" s="3">
        <v>548</v>
      </c>
      <c r="E5" s="3">
        <v>104</v>
      </c>
      <c r="F5" s="3">
        <v>480</v>
      </c>
    </row>
    <row r="6" spans="2:6" x14ac:dyDescent="0.25">
      <c r="B6" s="2" t="s">
        <v>446</v>
      </c>
      <c r="C6" s="3">
        <v>215</v>
      </c>
      <c r="D6" s="3">
        <v>420</v>
      </c>
      <c r="E6" s="3">
        <v>265</v>
      </c>
      <c r="F6" s="3">
        <v>286</v>
      </c>
    </row>
    <row r="7" spans="2:6" x14ac:dyDescent="0.25">
      <c r="B7" s="2" t="s">
        <v>447</v>
      </c>
      <c r="C7" s="3">
        <v>207</v>
      </c>
      <c r="D7" s="3">
        <v>410</v>
      </c>
      <c r="E7" s="3">
        <v>86</v>
      </c>
      <c r="F7" s="3">
        <v>307</v>
      </c>
    </row>
    <row r="8" spans="2:6" x14ac:dyDescent="0.25">
      <c r="B8" s="2" t="s">
        <v>448</v>
      </c>
      <c r="C8" s="3">
        <v>123</v>
      </c>
      <c r="D8" s="3">
        <v>328</v>
      </c>
      <c r="E8" s="3">
        <v>30</v>
      </c>
      <c r="F8" s="3">
        <v>117</v>
      </c>
    </row>
    <row r="9" spans="2:6" x14ac:dyDescent="0.25">
      <c r="B9" s="2" t="s">
        <v>449</v>
      </c>
      <c r="C9" s="3">
        <v>83</v>
      </c>
      <c r="D9" s="3">
        <v>337</v>
      </c>
      <c r="E9" s="3">
        <v>89</v>
      </c>
      <c r="F9" s="3">
        <v>294</v>
      </c>
    </row>
    <row r="10" spans="2:6" x14ac:dyDescent="0.25">
      <c r="B10" s="2" t="s">
        <v>450</v>
      </c>
      <c r="C10" s="3">
        <v>226</v>
      </c>
      <c r="D10" s="3">
        <v>476</v>
      </c>
      <c r="E10" s="3">
        <v>137</v>
      </c>
      <c r="F10" s="3">
        <v>398</v>
      </c>
    </row>
    <row r="11" spans="2:6" x14ac:dyDescent="0.25">
      <c r="B11" s="2" t="s">
        <v>451</v>
      </c>
      <c r="C11" s="3">
        <v>203</v>
      </c>
      <c r="D11" s="3">
        <v>334</v>
      </c>
      <c r="E11" s="3">
        <v>165</v>
      </c>
      <c r="F11" s="3">
        <v>329</v>
      </c>
    </row>
    <row r="12" spans="2:6" x14ac:dyDescent="0.25">
      <c r="B12" s="2" t="s">
        <v>452</v>
      </c>
      <c r="C12" s="3">
        <v>212</v>
      </c>
      <c r="D12" s="3">
        <v>538</v>
      </c>
      <c r="E12" s="3">
        <v>80</v>
      </c>
      <c r="F12" s="3">
        <v>390</v>
      </c>
    </row>
    <row r="13" spans="2:6" x14ac:dyDescent="0.25">
      <c r="B13" s="2" t="s">
        <v>453</v>
      </c>
      <c r="C13" s="3">
        <v>192</v>
      </c>
      <c r="D13" s="3">
        <v>359</v>
      </c>
      <c r="E13" s="3">
        <v>223</v>
      </c>
      <c r="F13" s="3">
        <v>260</v>
      </c>
    </row>
    <row r="14" spans="2:6" x14ac:dyDescent="0.25">
      <c r="B14" s="2" t="s">
        <v>454</v>
      </c>
      <c r="C14" s="3">
        <v>242</v>
      </c>
      <c r="D14" s="3">
        <v>380</v>
      </c>
      <c r="E14" s="3">
        <v>105</v>
      </c>
      <c r="F14" s="3">
        <v>306</v>
      </c>
    </row>
    <row r="15" spans="2:6" x14ac:dyDescent="0.25">
      <c r="B15" s="2" t="s">
        <v>455</v>
      </c>
      <c r="C15" s="3">
        <v>124</v>
      </c>
      <c r="D15" s="3">
        <v>371</v>
      </c>
      <c r="E15" s="3">
        <v>53</v>
      </c>
      <c r="F15" s="3">
        <v>116</v>
      </c>
    </row>
    <row r="16" spans="2:6" x14ac:dyDescent="0.25">
      <c r="B16" s="2" t="s">
        <v>456</v>
      </c>
      <c r="C16" s="3">
        <v>114</v>
      </c>
      <c r="D16" s="3">
        <v>232</v>
      </c>
      <c r="E16" s="3">
        <v>94</v>
      </c>
      <c r="F16" s="3">
        <v>287</v>
      </c>
    </row>
    <row r="17" spans="2:6" x14ac:dyDescent="0.25">
      <c r="B17" s="2" t="s">
        <v>457</v>
      </c>
      <c r="C17" s="3">
        <v>136</v>
      </c>
      <c r="D17" s="3">
        <v>316</v>
      </c>
      <c r="E17" s="3">
        <v>111</v>
      </c>
      <c r="F17" s="3">
        <v>287</v>
      </c>
    </row>
    <row r="18" spans="2:6" x14ac:dyDescent="0.25">
      <c r="B18" s="2" t="s">
        <v>458</v>
      </c>
      <c r="C18" s="3">
        <v>228</v>
      </c>
      <c r="D18" s="3">
        <v>320</v>
      </c>
      <c r="E18" s="3">
        <v>187</v>
      </c>
      <c r="F18" s="3">
        <v>321</v>
      </c>
    </row>
    <row r="19" spans="2:6" x14ac:dyDescent="0.25">
      <c r="B19" s="2" t="s">
        <v>459</v>
      </c>
      <c r="C19" s="3">
        <v>201</v>
      </c>
      <c r="D19" s="3">
        <v>556</v>
      </c>
      <c r="E19" s="3">
        <v>75</v>
      </c>
      <c r="F19" s="3">
        <v>482</v>
      </c>
    </row>
    <row r="20" spans="2:6" x14ac:dyDescent="0.25">
      <c r="B20" s="2" t="s">
        <v>460</v>
      </c>
      <c r="C20" s="3">
        <v>209</v>
      </c>
      <c r="D20" s="3">
        <v>368</v>
      </c>
      <c r="E20" s="3">
        <v>224</v>
      </c>
      <c r="F20" s="3">
        <v>306</v>
      </c>
    </row>
    <row r="21" spans="2:6" x14ac:dyDescent="0.25">
      <c r="B21" s="2" t="s">
        <v>461</v>
      </c>
      <c r="C21" s="3">
        <v>163</v>
      </c>
      <c r="D21" s="3">
        <v>357</v>
      </c>
      <c r="E21" s="3">
        <v>78</v>
      </c>
      <c r="F21" s="3">
        <v>274</v>
      </c>
    </row>
    <row r="22" spans="2:6" x14ac:dyDescent="0.25">
      <c r="B22" s="2" t="s">
        <v>462</v>
      </c>
      <c r="C22" s="3">
        <v>119</v>
      </c>
      <c r="D22" s="3">
        <v>360</v>
      </c>
      <c r="E22" s="3">
        <v>51</v>
      </c>
      <c r="F22" s="3">
        <v>110</v>
      </c>
    </row>
    <row r="23" spans="2:6" x14ac:dyDescent="0.25">
      <c r="B23" s="2" t="s">
        <v>463</v>
      </c>
      <c r="C23" s="3">
        <v>119</v>
      </c>
      <c r="D23" s="3">
        <v>248</v>
      </c>
      <c r="E23" s="3">
        <v>146</v>
      </c>
      <c r="F23" s="3">
        <v>377</v>
      </c>
    </row>
    <row r="24" spans="2:6" x14ac:dyDescent="0.25">
      <c r="B24" s="2" t="s">
        <v>464</v>
      </c>
      <c r="C24" s="3">
        <v>240</v>
      </c>
      <c r="D24" s="3">
        <v>358</v>
      </c>
      <c r="E24" s="3">
        <v>157</v>
      </c>
      <c r="F24" s="3">
        <v>310</v>
      </c>
    </row>
    <row r="25" spans="2:6" x14ac:dyDescent="0.25">
      <c r="B25" s="2" t="s">
        <v>465</v>
      </c>
      <c r="C25" s="3">
        <v>269</v>
      </c>
      <c r="D25" s="3">
        <v>369</v>
      </c>
      <c r="E25" s="3">
        <v>217</v>
      </c>
      <c r="F25" s="3">
        <v>352</v>
      </c>
    </row>
    <row r="26" spans="2:6" x14ac:dyDescent="0.25">
      <c r="B26" s="2" t="s">
        <v>466</v>
      </c>
      <c r="C26" s="3">
        <v>205</v>
      </c>
      <c r="D26" s="3">
        <v>527</v>
      </c>
      <c r="E26" s="3">
        <v>82</v>
      </c>
      <c r="F26" s="3">
        <v>502</v>
      </c>
    </row>
    <row r="27" spans="2:6" x14ac:dyDescent="0.25">
      <c r="B27" s="2" t="s">
        <v>467</v>
      </c>
      <c r="C27" s="3">
        <v>193</v>
      </c>
      <c r="D27" s="3">
        <v>322</v>
      </c>
      <c r="E27" s="3">
        <v>245</v>
      </c>
      <c r="F27" s="3">
        <v>405</v>
      </c>
    </row>
    <row r="28" spans="2:6" x14ac:dyDescent="0.25">
      <c r="B28" s="2" t="s">
        <v>468</v>
      </c>
      <c r="C28" s="3">
        <v>212</v>
      </c>
      <c r="D28" s="3">
        <v>423</v>
      </c>
      <c r="E28" s="3">
        <v>138</v>
      </c>
      <c r="F28" s="3">
        <v>394</v>
      </c>
    </row>
    <row r="29" spans="2:6" x14ac:dyDescent="0.25">
      <c r="B29" s="2" t="s">
        <v>469</v>
      </c>
      <c r="C29" s="3">
        <v>186</v>
      </c>
      <c r="D29" s="3">
        <v>518</v>
      </c>
      <c r="E29" s="3">
        <v>78</v>
      </c>
      <c r="F29" s="3">
        <v>180</v>
      </c>
    </row>
    <row r="30" spans="2:6" x14ac:dyDescent="0.25">
      <c r="B30" s="2" t="s">
        <v>470</v>
      </c>
      <c r="C30" s="3">
        <v>206</v>
      </c>
      <c r="D30" s="3">
        <v>272</v>
      </c>
      <c r="E30" s="3">
        <v>176</v>
      </c>
      <c r="F30" s="3">
        <v>488</v>
      </c>
    </row>
    <row r="31" spans="2:6" x14ac:dyDescent="0.25">
      <c r="B31" s="2" t="s">
        <v>471</v>
      </c>
      <c r="C31" s="3">
        <v>236</v>
      </c>
      <c r="D31" s="3">
        <v>426</v>
      </c>
      <c r="E31" s="3">
        <v>128</v>
      </c>
      <c r="F31" s="3">
        <v>300</v>
      </c>
    </row>
    <row r="32" spans="2:6" x14ac:dyDescent="0.25">
      <c r="B32" s="2" t="s">
        <v>472</v>
      </c>
      <c r="C32" s="3">
        <v>201</v>
      </c>
      <c r="D32" s="3">
        <v>298</v>
      </c>
      <c r="E32" s="3">
        <v>183</v>
      </c>
      <c r="F32" s="3">
        <v>269</v>
      </c>
    </row>
    <row r="33" spans="2:6" x14ac:dyDescent="0.25">
      <c r="B33" s="2" t="s">
        <v>473</v>
      </c>
      <c r="C33" s="3">
        <v>209</v>
      </c>
      <c r="D33" s="3">
        <v>456</v>
      </c>
      <c r="E33" s="3">
        <v>88</v>
      </c>
      <c r="F33" s="3">
        <v>468</v>
      </c>
    </row>
    <row r="34" spans="2:6" x14ac:dyDescent="0.25">
      <c r="B34" s="2"/>
      <c r="C34" s="3"/>
      <c r="D34" s="3"/>
      <c r="E34" s="3"/>
      <c r="F34" s="3"/>
    </row>
    <row r="35" spans="2:6" x14ac:dyDescent="0.25">
      <c r="B35" s="1" t="s">
        <v>36</v>
      </c>
      <c r="C35" s="1">
        <f>SUM(C9:C34)</f>
        <v>4728</v>
      </c>
      <c r="D35" s="1">
        <f>SUM(D9:D34)</f>
        <v>9521</v>
      </c>
      <c r="E35" s="1">
        <f>SUM(E9:E34)</f>
        <v>3310</v>
      </c>
      <c r="F35" s="1">
        <f>SUM(F9:F34)</f>
        <v>8205</v>
      </c>
    </row>
  </sheetData>
  <mergeCells count="1">
    <mergeCell ref="B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F195-CD7A-41B2-8E66-E60DD9A3FF79}">
  <dimension ref="B2:L35"/>
  <sheetViews>
    <sheetView workbookViewId="0">
      <selection activeCell="I14" sqref="I14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6" x14ac:dyDescent="0.25">
      <c r="B2" s="21">
        <v>45778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474</v>
      </c>
      <c r="C4" s="3">
        <v>128</v>
      </c>
      <c r="D4" s="3">
        <v>177</v>
      </c>
      <c r="E4" s="3">
        <v>48</v>
      </c>
      <c r="F4" s="3">
        <v>175</v>
      </c>
    </row>
    <row r="5" spans="2:6" x14ac:dyDescent="0.25">
      <c r="B5" s="2" t="s">
        <v>475</v>
      </c>
      <c r="C5" s="3">
        <v>114</v>
      </c>
      <c r="D5" s="3">
        <v>210</v>
      </c>
      <c r="E5" s="3">
        <v>12</v>
      </c>
      <c r="F5" s="3">
        <v>103</v>
      </c>
    </row>
    <row r="6" spans="2:6" x14ac:dyDescent="0.25">
      <c r="B6" s="2" t="s">
        <v>476</v>
      </c>
      <c r="C6" s="3">
        <v>68</v>
      </c>
      <c r="D6" s="3">
        <v>288</v>
      </c>
      <c r="E6" s="3">
        <v>10</v>
      </c>
      <c r="F6" s="3">
        <v>68</v>
      </c>
    </row>
    <row r="7" spans="2:6" x14ac:dyDescent="0.25">
      <c r="B7" s="2" t="s">
        <v>477</v>
      </c>
      <c r="C7" s="3">
        <v>102</v>
      </c>
      <c r="D7" s="3">
        <v>107</v>
      </c>
      <c r="E7" s="3">
        <v>19</v>
      </c>
      <c r="F7" s="3">
        <v>191</v>
      </c>
    </row>
    <row r="8" spans="2:6" x14ac:dyDescent="0.25">
      <c r="B8" s="2" t="s">
        <v>478</v>
      </c>
      <c r="C8" s="3">
        <v>90</v>
      </c>
      <c r="D8" s="3">
        <v>225</v>
      </c>
      <c r="E8" s="3">
        <v>14</v>
      </c>
      <c r="F8" s="3">
        <v>93</v>
      </c>
    </row>
    <row r="9" spans="2:6" x14ac:dyDescent="0.25">
      <c r="B9" s="2" t="s">
        <v>479</v>
      </c>
      <c r="C9" s="3">
        <v>82</v>
      </c>
      <c r="D9" s="3">
        <v>145</v>
      </c>
      <c r="E9" s="3">
        <v>20</v>
      </c>
      <c r="F9" s="3">
        <v>98</v>
      </c>
    </row>
    <row r="10" spans="2:6" x14ac:dyDescent="0.25">
      <c r="B10" s="2" t="s">
        <v>480</v>
      </c>
      <c r="C10" s="3">
        <v>75</v>
      </c>
      <c r="D10" s="3">
        <v>295</v>
      </c>
      <c r="E10" s="3">
        <v>12</v>
      </c>
      <c r="F10" s="3">
        <v>135</v>
      </c>
    </row>
    <row r="11" spans="2:6" x14ac:dyDescent="0.25">
      <c r="B11" s="2" t="s">
        <v>481</v>
      </c>
      <c r="C11" s="3">
        <v>64</v>
      </c>
      <c r="D11" s="3">
        <v>124</v>
      </c>
      <c r="E11" s="3">
        <v>22</v>
      </c>
      <c r="F11" s="3">
        <v>58</v>
      </c>
    </row>
    <row r="12" spans="2:6" x14ac:dyDescent="0.25">
      <c r="B12" s="2" t="s">
        <v>482</v>
      </c>
      <c r="C12" s="3">
        <v>71</v>
      </c>
      <c r="D12" s="3">
        <v>126</v>
      </c>
      <c r="E12" s="3">
        <v>8</v>
      </c>
      <c r="F12" s="3">
        <v>52</v>
      </c>
    </row>
    <row r="13" spans="2:6" x14ac:dyDescent="0.25">
      <c r="B13" s="2" t="s">
        <v>483</v>
      </c>
      <c r="C13" s="3">
        <v>42</v>
      </c>
      <c r="D13" s="3">
        <v>130</v>
      </c>
      <c r="E13" s="3">
        <v>6</v>
      </c>
      <c r="F13" s="3">
        <v>30</v>
      </c>
    </row>
    <row r="14" spans="2:6" x14ac:dyDescent="0.25">
      <c r="B14" s="2" t="s">
        <v>484</v>
      </c>
      <c r="C14" s="3">
        <v>44</v>
      </c>
      <c r="D14" s="3">
        <v>60</v>
      </c>
      <c r="E14" s="3">
        <v>11</v>
      </c>
      <c r="F14" s="3">
        <v>93</v>
      </c>
    </row>
    <row r="15" spans="2:6" x14ac:dyDescent="0.25">
      <c r="B15" s="2" t="s">
        <v>485</v>
      </c>
      <c r="C15" s="3">
        <v>38</v>
      </c>
      <c r="D15" s="3">
        <v>115</v>
      </c>
      <c r="E15" s="3">
        <v>9</v>
      </c>
      <c r="F15" s="3">
        <v>43</v>
      </c>
    </row>
    <row r="16" spans="2:6" x14ac:dyDescent="0.25">
      <c r="B16" s="2" t="s">
        <v>486</v>
      </c>
      <c r="C16" s="3">
        <v>47</v>
      </c>
      <c r="D16" s="3">
        <v>109</v>
      </c>
      <c r="E16" s="3">
        <v>17</v>
      </c>
      <c r="F16" s="3">
        <v>52</v>
      </c>
    </row>
    <row r="17" spans="2:12" x14ac:dyDescent="0.25">
      <c r="B17" s="2" t="s">
        <v>487</v>
      </c>
      <c r="C17" s="3">
        <v>45</v>
      </c>
      <c r="D17" s="3">
        <v>120</v>
      </c>
      <c r="E17" s="3">
        <v>5</v>
      </c>
      <c r="F17" s="3">
        <v>91</v>
      </c>
    </row>
    <row r="18" spans="2:12" x14ac:dyDescent="0.25">
      <c r="B18" s="2" t="s">
        <v>488</v>
      </c>
      <c r="C18" s="3">
        <v>62</v>
      </c>
      <c r="D18" s="3">
        <v>80</v>
      </c>
      <c r="E18" s="3">
        <v>19</v>
      </c>
      <c r="F18" s="3">
        <v>83</v>
      </c>
    </row>
    <row r="19" spans="2:12" x14ac:dyDescent="0.25">
      <c r="B19" s="2" t="s">
        <v>489</v>
      </c>
      <c r="C19" s="3">
        <v>51</v>
      </c>
      <c r="D19" s="3">
        <v>86</v>
      </c>
      <c r="E19" s="3">
        <v>18</v>
      </c>
      <c r="F19" s="3">
        <v>91</v>
      </c>
    </row>
    <row r="20" spans="2:12" x14ac:dyDescent="0.25">
      <c r="B20" s="2" t="s">
        <v>490</v>
      </c>
      <c r="C20" s="3">
        <v>49</v>
      </c>
      <c r="D20" s="3">
        <v>108</v>
      </c>
      <c r="E20" s="3">
        <v>14</v>
      </c>
      <c r="F20" s="3">
        <v>39</v>
      </c>
    </row>
    <row r="21" spans="2:12" x14ac:dyDescent="0.25">
      <c r="B21" s="2" t="s">
        <v>491</v>
      </c>
      <c r="C21" s="3">
        <v>33</v>
      </c>
      <c r="D21" s="3">
        <v>79</v>
      </c>
      <c r="E21" s="3">
        <v>10</v>
      </c>
      <c r="F21" s="3">
        <v>90</v>
      </c>
    </row>
    <row r="22" spans="2:12" x14ac:dyDescent="0.25">
      <c r="B22" s="2" t="s">
        <v>492</v>
      </c>
      <c r="C22" s="3">
        <v>54</v>
      </c>
      <c r="D22" s="3">
        <v>127</v>
      </c>
      <c r="E22" s="3">
        <v>16</v>
      </c>
      <c r="F22" s="3">
        <v>57</v>
      </c>
    </row>
    <row r="23" spans="2:12" x14ac:dyDescent="0.25">
      <c r="B23" s="2" t="s">
        <v>493</v>
      </c>
      <c r="C23" s="3">
        <v>55</v>
      </c>
      <c r="D23" s="3">
        <v>112</v>
      </c>
      <c r="E23" s="3">
        <v>27</v>
      </c>
      <c r="F23" s="3">
        <v>69</v>
      </c>
    </row>
    <row r="24" spans="2:12" x14ac:dyDescent="0.25">
      <c r="B24" s="2" t="s">
        <v>494</v>
      </c>
      <c r="C24" s="3">
        <v>41</v>
      </c>
      <c r="D24" s="3">
        <v>131</v>
      </c>
      <c r="E24" s="3">
        <v>10</v>
      </c>
      <c r="F24" s="3">
        <v>98</v>
      </c>
    </row>
    <row r="25" spans="2:12" x14ac:dyDescent="0.25">
      <c r="B25" s="2" t="s">
        <v>495</v>
      </c>
      <c r="C25" s="3">
        <v>52</v>
      </c>
      <c r="D25" s="3">
        <v>97</v>
      </c>
      <c r="E25" s="3">
        <v>26</v>
      </c>
      <c r="F25" s="3">
        <v>114</v>
      </c>
      <c r="J25">
        <v>350</v>
      </c>
      <c r="K25">
        <v>19</v>
      </c>
      <c r="L25">
        <f>+J25*K25</f>
        <v>6650</v>
      </c>
    </row>
    <row r="26" spans="2:12" x14ac:dyDescent="0.25">
      <c r="B26" s="2" t="s">
        <v>496</v>
      </c>
      <c r="C26" s="3">
        <v>50</v>
      </c>
      <c r="D26" s="3">
        <v>101</v>
      </c>
      <c r="E26" s="3">
        <v>14</v>
      </c>
      <c r="F26" s="3">
        <v>86</v>
      </c>
      <c r="J26">
        <v>40</v>
      </c>
      <c r="K26">
        <v>166</v>
      </c>
      <c r="L26">
        <f>+J26*K26</f>
        <v>6640</v>
      </c>
    </row>
    <row r="27" spans="2:12" x14ac:dyDescent="0.25">
      <c r="B27" s="2" t="s">
        <v>497</v>
      </c>
      <c r="C27" s="3">
        <v>50</v>
      </c>
      <c r="D27" s="3">
        <v>114</v>
      </c>
      <c r="E27" s="3">
        <v>12</v>
      </c>
      <c r="F27" s="3">
        <v>31</v>
      </c>
    </row>
    <row r="28" spans="2:12" x14ac:dyDescent="0.25">
      <c r="B28" s="2" t="s">
        <v>498</v>
      </c>
      <c r="C28" s="3">
        <v>36</v>
      </c>
      <c r="D28" s="3">
        <v>51</v>
      </c>
      <c r="E28" s="3">
        <v>15</v>
      </c>
      <c r="F28" s="3">
        <v>92</v>
      </c>
    </row>
    <row r="29" spans="2:12" x14ac:dyDescent="0.25">
      <c r="B29" s="2" t="s">
        <v>499</v>
      </c>
      <c r="C29" s="3">
        <v>45</v>
      </c>
      <c r="D29" s="3">
        <v>117</v>
      </c>
      <c r="E29" s="3">
        <v>14</v>
      </c>
      <c r="F29" s="3">
        <v>77</v>
      </c>
    </row>
    <row r="30" spans="2:12" x14ac:dyDescent="0.25">
      <c r="B30" s="2" t="s">
        <v>500</v>
      </c>
      <c r="C30" s="3">
        <v>59</v>
      </c>
      <c r="D30" s="3">
        <v>124</v>
      </c>
      <c r="E30" s="3">
        <v>22</v>
      </c>
      <c r="F30" s="3">
        <v>86</v>
      </c>
    </row>
    <row r="31" spans="2:12" x14ac:dyDescent="0.25">
      <c r="B31" s="2" t="s">
        <v>501</v>
      </c>
      <c r="C31" s="3">
        <v>61</v>
      </c>
      <c r="D31" s="3">
        <v>139</v>
      </c>
      <c r="E31" s="3">
        <v>20</v>
      </c>
      <c r="F31" s="3">
        <v>98</v>
      </c>
    </row>
    <row r="32" spans="2:12" x14ac:dyDescent="0.25">
      <c r="B32" s="2" t="s">
        <v>502</v>
      </c>
      <c r="C32" s="3">
        <v>64</v>
      </c>
      <c r="D32" s="3">
        <v>111</v>
      </c>
      <c r="E32" s="3">
        <v>35</v>
      </c>
      <c r="F32" s="3">
        <v>108</v>
      </c>
    </row>
    <row r="33" spans="2:6" x14ac:dyDescent="0.25">
      <c r="B33" s="2" t="s">
        <v>503</v>
      </c>
      <c r="C33" s="3">
        <v>53</v>
      </c>
      <c r="D33" s="3">
        <v>96</v>
      </c>
      <c r="E33" s="3">
        <v>9</v>
      </c>
      <c r="F33" s="3">
        <v>88</v>
      </c>
    </row>
    <row r="34" spans="2:6" x14ac:dyDescent="0.25">
      <c r="B34" s="2" t="s">
        <v>504</v>
      </c>
      <c r="C34" s="3">
        <v>39</v>
      </c>
      <c r="D34" s="3">
        <v>121</v>
      </c>
      <c r="E34" s="3">
        <v>12</v>
      </c>
      <c r="F34" s="3"/>
    </row>
    <row r="35" spans="2:6" x14ac:dyDescent="0.25">
      <c r="B35" s="1" t="s">
        <v>36</v>
      </c>
      <c r="C35" s="1">
        <f>SUM(C9:C34)</f>
        <v>1362</v>
      </c>
      <c r="D35" s="1">
        <f>SUM(D9:D34)</f>
        <v>3018</v>
      </c>
      <c r="E35" s="1">
        <f>SUM(E9:E34)</f>
        <v>403</v>
      </c>
      <c r="F35" s="1">
        <f>SUM(F9:F34)</f>
        <v>1959</v>
      </c>
    </row>
  </sheetData>
  <mergeCells count="1">
    <mergeCell ref="B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FB9C-B443-4626-AC0E-83ABE410F6FC}">
  <dimension ref="A1:E34"/>
  <sheetViews>
    <sheetView workbookViewId="0">
      <selection activeCell="G8" sqref="G8"/>
    </sheetView>
  </sheetViews>
  <sheetFormatPr defaultRowHeight="15" x14ac:dyDescent="0.25"/>
  <sheetData>
    <row r="1" spans="1:5" x14ac:dyDescent="0.25">
      <c r="A1" s="21">
        <v>45809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505</v>
      </c>
      <c r="B3" s="3">
        <v>88</v>
      </c>
      <c r="C3" s="3">
        <v>138</v>
      </c>
      <c r="D3" s="3">
        <v>20</v>
      </c>
      <c r="E3" s="3">
        <v>195</v>
      </c>
    </row>
    <row r="4" spans="1:5" x14ac:dyDescent="0.25">
      <c r="A4" s="2" t="s">
        <v>506</v>
      </c>
      <c r="B4" s="3">
        <v>96</v>
      </c>
      <c r="C4" s="3">
        <v>330</v>
      </c>
      <c r="D4" s="3">
        <v>47</v>
      </c>
      <c r="E4" s="3">
        <v>203</v>
      </c>
    </row>
    <row r="5" spans="1:5" x14ac:dyDescent="0.25">
      <c r="A5" s="2" t="s">
        <v>507</v>
      </c>
      <c r="B5" s="3">
        <v>138</v>
      </c>
      <c r="C5" s="3">
        <v>291</v>
      </c>
      <c r="D5" s="3">
        <v>54</v>
      </c>
      <c r="E5" s="3">
        <v>167</v>
      </c>
    </row>
    <row r="6" spans="1:5" x14ac:dyDescent="0.25">
      <c r="A6" s="2" t="s">
        <v>508</v>
      </c>
      <c r="B6" s="3">
        <v>157</v>
      </c>
      <c r="C6" s="3">
        <v>328</v>
      </c>
      <c r="D6" s="3">
        <v>30</v>
      </c>
      <c r="E6" s="3">
        <v>281</v>
      </c>
    </row>
    <row r="7" spans="1:5" x14ac:dyDescent="0.25">
      <c r="A7" s="2" t="s">
        <v>509</v>
      </c>
      <c r="B7" s="3">
        <v>135</v>
      </c>
      <c r="C7" s="3">
        <v>291</v>
      </c>
      <c r="D7" s="3">
        <v>84</v>
      </c>
      <c r="E7" s="3">
        <v>260</v>
      </c>
    </row>
    <row r="8" spans="1:5" x14ac:dyDescent="0.25">
      <c r="A8" s="2" t="s">
        <v>510</v>
      </c>
      <c r="B8" s="3">
        <v>143</v>
      </c>
      <c r="C8" s="3">
        <v>310</v>
      </c>
      <c r="D8" s="3">
        <v>37</v>
      </c>
      <c r="E8" s="3">
        <v>209</v>
      </c>
    </row>
    <row r="9" spans="1:5" x14ac:dyDescent="0.25">
      <c r="A9" s="2" t="s">
        <v>511</v>
      </c>
      <c r="B9" s="3">
        <v>99</v>
      </c>
      <c r="C9" s="3">
        <v>270</v>
      </c>
      <c r="D9" s="3">
        <v>29</v>
      </c>
      <c r="E9" s="3">
        <v>86</v>
      </c>
    </row>
    <row r="10" spans="1:5" x14ac:dyDescent="0.25">
      <c r="A10" s="2" t="s">
        <v>512</v>
      </c>
      <c r="B10" s="3">
        <v>89</v>
      </c>
      <c r="C10" s="3">
        <v>156</v>
      </c>
      <c r="D10" s="3">
        <v>47</v>
      </c>
      <c r="E10" s="3">
        <v>256</v>
      </c>
    </row>
    <row r="11" spans="1:5" x14ac:dyDescent="0.25">
      <c r="A11" s="2" t="s">
        <v>513</v>
      </c>
      <c r="B11" s="3">
        <v>138</v>
      </c>
      <c r="C11" s="3">
        <v>328</v>
      </c>
      <c r="D11" s="3">
        <v>51</v>
      </c>
      <c r="E11" s="3">
        <v>187</v>
      </c>
    </row>
    <row r="12" spans="1:5" x14ac:dyDescent="0.25">
      <c r="A12" s="2" t="s">
        <v>514</v>
      </c>
      <c r="B12" s="3">
        <v>152</v>
      </c>
      <c r="C12" s="3">
        <v>326</v>
      </c>
      <c r="D12" s="3">
        <v>56</v>
      </c>
      <c r="E12" s="3">
        <v>230</v>
      </c>
    </row>
    <row r="13" spans="1:5" x14ac:dyDescent="0.25">
      <c r="A13" s="2" t="s">
        <v>515</v>
      </c>
      <c r="B13" s="3">
        <v>153</v>
      </c>
      <c r="C13" s="3">
        <v>340</v>
      </c>
      <c r="D13" s="3">
        <v>35</v>
      </c>
      <c r="E13" s="3">
        <v>283</v>
      </c>
    </row>
    <row r="14" spans="1:5" x14ac:dyDescent="0.25">
      <c r="A14" s="2" t="s">
        <v>516</v>
      </c>
      <c r="B14" s="3">
        <v>146</v>
      </c>
      <c r="C14" s="3">
        <v>276</v>
      </c>
      <c r="D14" s="3">
        <v>80</v>
      </c>
      <c r="E14" s="3">
        <v>273</v>
      </c>
    </row>
    <row r="15" spans="1:5" x14ac:dyDescent="0.25">
      <c r="A15" s="2" t="s">
        <v>517</v>
      </c>
      <c r="B15" s="3">
        <v>168</v>
      </c>
      <c r="C15" s="3">
        <v>284</v>
      </c>
      <c r="D15" s="3">
        <v>43</v>
      </c>
      <c r="E15" s="3">
        <v>242</v>
      </c>
    </row>
    <row r="16" spans="1:5" x14ac:dyDescent="0.25">
      <c r="A16" s="2" t="s">
        <v>518</v>
      </c>
      <c r="B16" s="3">
        <v>119</v>
      </c>
      <c r="C16" s="3">
        <v>288</v>
      </c>
      <c r="D16" s="3">
        <v>40</v>
      </c>
      <c r="E16" s="3">
        <v>117</v>
      </c>
    </row>
    <row r="17" spans="1:5" x14ac:dyDescent="0.25">
      <c r="A17" s="2" t="s">
        <v>519</v>
      </c>
      <c r="B17" s="3">
        <v>112</v>
      </c>
      <c r="C17" s="3">
        <v>172</v>
      </c>
      <c r="D17" s="3">
        <v>55</v>
      </c>
      <c r="E17" s="3">
        <v>290</v>
      </c>
    </row>
    <row r="18" spans="1:5" x14ac:dyDescent="0.25">
      <c r="A18" s="2" t="s">
        <v>520</v>
      </c>
      <c r="B18" s="3">
        <v>151</v>
      </c>
      <c r="C18" s="3">
        <v>357</v>
      </c>
      <c r="D18" s="3">
        <v>47</v>
      </c>
      <c r="E18" s="3">
        <v>194</v>
      </c>
    </row>
    <row r="19" spans="1:5" x14ac:dyDescent="0.25">
      <c r="A19" s="2" t="s">
        <v>521</v>
      </c>
      <c r="B19" s="3">
        <v>160</v>
      </c>
      <c r="C19" s="3">
        <v>324</v>
      </c>
      <c r="D19" s="3">
        <v>62</v>
      </c>
      <c r="E19" s="3">
        <v>206</v>
      </c>
    </row>
    <row r="20" spans="1:5" x14ac:dyDescent="0.25">
      <c r="A20" s="2" t="s">
        <v>522</v>
      </c>
      <c r="B20" s="3">
        <v>149</v>
      </c>
      <c r="C20" s="3">
        <v>392</v>
      </c>
      <c r="D20" s="3">
        <v>36</v>
      </c>
      <c r="E20" s="3">
        <v>308</v>
      </c>
    </row>
    <row r="21" spans="1:5" x14ac:dyDescent="0.25">
      <c r="A21" s="2" t="s">
        <v>523</v>
      </c>
      <c r="B21" s="3">
        <v>157</v>
      </c>
      <c r="C21" s="3">
        <v>301</v>
      </c>
      <c r="D21" s="3">
        <v>98</v>
      </c>
      <c r="E21" s="3">
        <v>235</v>
      </c>
    </row>
    <row r="22" spans="1:5" x14ac:dyDescent="0.25">
      <c r="A22" s="2" t="s">
        <v>524</v>
      </c>
      <c r="B22" s="3">
        <v>150</v>
      </c>
      <c r="C22" s="3">
        <v>268</v>
      </c>
      <c r="D22" s="3">
        <v>45</v>
      </c>
      <c r="E22" s="3">
        <v>232</v>
      </c>
    </row>
    <row r="23" spans="1:5" x14ac:dyDescent="0.25">
      <c r="A23" s="2" t="s">
        <v>525</v>
      </c>
      <c r="B23" s="3">
        <v>116</v>
      </c>
      <c r="C23" s="3">
        <v>304</v>
      </c>
      <c r="D23" s="3">
        <v>32</v>
      </c>
      <c r="E23" s="3">
        <v>85</v>
      </c>
    </row>
    <row r="24" spans="1:5" x14ac:dyDescent="0.25">
      <c r="A24" s="2" t="s">
        <v>526</v>
      </c>
      <c r="B24" s="3">
        <v>115</v>
      </c>
      <c r="C24" s="3">
        <v>182</v>
      </c>
      <c r="D24" s="3">
        <v>67</v>
      </c>
      <c r="E24" s="3">
        <v>270</v>
      </c>
    </row>
    <row r="25" spans="1:5" x14ac:dyDescent="0.25">
      <c r="A25" s="2" t="s">
        <v>527</v>
      </c>
      <c r="B25" s="3">
        <v>172</v>
      </c>
      <c r="C25" s="3">
        <v>332</v>
      </c>
      <c r="D25" s="3">
        <v>39</v>
      </c>
      <c r="E25" s="3">
        <v>196</v>
      </c>
    </row>
    <row r="26" spans="1:5" x14ac:dyDescent="0.25">
      <c r="A26" s="2" t="s">
        <v>528</v>
      </c>
      <c r="B26" s="3">
        <v>168</v>
      </c>
      <c r="C26" s="3">
        <v>317</v>
      </c>
      <c r="D26" s="3">
        <v>76</v>
      </c>
      <c r="E26" s="3">
        <v>185</v>
      </c>
    </row>
    <row r="27" spans="1:5" x14ac:dyDescent="0.25">
      <c r="A27" s="2" t="s">
        <v>529</v>
      </c>
      <c r="B27" s="3">
        <v>167</v>
      </c>
      <c r="C27" s="3">
        <v>370</v>
      </c>
      <c r="D27" s="3">
        <v>42</v>
      </c>
      <c r="E27" s="3">
        <v>301</v>
      </c>
    </row>
    <row r="28" spans="1:5" x14ac:dyDescent="0.25">
      <c r="A28" s="2" t="s">
        <v>530</v>
      </c>
      <c r="B28" s="3">
        <v>155</v>
      </c>
      <c r="C28" s="3">
        <v>272</v>
      </c>
      <c r="D28" s="3">
        <v>104</v>
      </c>
      <c r="E28" s="3">
        <v>255</v>
      </c>
    </row>
    <row r="29" spans="1:5" x14ac:dyDescent="0.25">
      <c r="A29" s="2" t="s">
        <v>531</v>
      </c>
      <c r="B29" s="3">
        <v>156</v>
      </c>
      <c r="C29" s="3">
        <v>283</v>
      </c>
      <c r="D29" s="3">
        <v>50</v>
      </c>
      <c r="E29" s="3">
        <v>258</v>
      </c>
    </row>
    <row r="30" spans="1:5" x14ac:dyDescent="0.25">
      <c r="A30" s="2" t="s">
        <v>532</v>
      </c>
      <c r="B30" s="3">
        <v>120</v>
      </c>
      <c r="C30" s="3">
        <v>321</v>
      </c>
      <c r="D30" s="3">
        <v>29</v>
      </c>
      <c r="E30" s="3">
        <v>104</v>
      </c>
    </row>
    <row r="31" spans="1:5" x14ac:dyDescent="0.25">
      <c r="A31" s="2" t="s">
        <v>533</v>
      </c>
      <c r="B31" s="3">
        <v>110</v>
      </c>
      <c r="C31" s="3">
        <f>173+3</f>
        <v>176</v>
      </c>
      <c r="D31" s="3">
        <f>43+2</f>
        <v>45</v>
      </c>
      <c r="E31" s="3">
        <f>275+4</f>
        <v>279</v>
      </c>
    </row>
    <row r="32" spans="1:5" x14ac:dyDescent="0.25">
      <c r="A32" s="2" t="s">
        <v>534</v>
      </c>
      <c r="B32" s="3">
        <f>136+4</f>
        <v>140</v>
      </c>
      <c r="C32" s="3">
        <v>350</v>
      </c>
      <c r="D32" s="3">
        <v>56</v>
      </c>
      <c r="E32" s="3">
        <f>214+3</f>
        <v>217</v>
      </c>
    </row>
    <row r="33" spans="1:5" x14ac:dyDescent="0.25">
      <c r="A33" s="2"/>
      <c r="B33" s="3"/>
      <c r="C33" s="3"/>
      <c r="D33" s="3"/>
      <c r="E33" s="3"/>
    </row>
    <row r="34" spans="1:5" x14ac:dyDescent="0.25">
      <c r="A34" s="1" t="s">
        <v>36</v>
      </c>
      <c r="B34" s="1">
        <f>SUM(B8:B33)</f>
        <v>3505</v>
      </c>
      <c r="C34" s="1">
        <f>SUM(C8:C33)</f>
        <v>7299</v>
      </c>
      <c r="D34" s="1">
        <f>SUM(D8:D33)</f>
        <v>1301</v>
      </c>
      <c r="E34" s="1">
        <f>SUM(E8:E33)</f>
        <v>5498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665A-16FE-4FD1-B110-8D965C9ECFBA}">
  <dimension ref="A1:E34"/>
  <sheetViews>
    <sheetView workbookViewId="0">
      <selection activeCell="G10" sqref="G10"/>
    </sheetView>
  </sheetViews>
  <sheetFormatPr defaultRowHeight="15" x14ac:dyDescent="0.25"/>
  <sheetData>
    <row r="1" spans="1:5" x14ac:dyDescent="0.25">
      <c r="A1" s="21">
        <v>45839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535</v>
      </c>
      <c r="B3" s="3">
        <v>136</v>
      </c>
      <c r="C3" s="3">
        <v>354</v>
      </c>
      <c r="D3" s="3">
        <v>52</v>
      </c>
      <c r="E3" s="3">
        <v>188</v>
      </c>
    </row>
    <row r="4" spans="1:5" x14ac:dyDescent="0.25">
      <c r="A4" s="2" t="s">
        <v>536</v>
      </c>
      <c r="B4" s="3">
        <v>141</v>
      </c>
      <c r="C4" s="3">
        <v>412</v>
      </c>
      <c r="D4" s="3">
        <v>34</v>
      </c>
      <c r="E4" s="3">
        <v>320</v>
      </c>
    </row>
    <row r="5" spans="1:5" x14ac:dyDescent="0.25">
      <c r="A5" s="2" t="s">
        <v>537</v>
      </c>
      <c r="B5" s="3">
        <v>155</v>
      </c>
      <c r="C5" s="3">
        <v>324</v>
      </c>
      <c r="D5" s="3">
        <v>90</v>
      </c>
      <c r="E5" s="3">
        <v>273</v>
      </c>
    </row>
    <row r="6" spans="1:5" x14ac:dyDescent="0.25">
      <c r="A6" s="2" t="s">
        <v>538</v>
      </c>
      <c r="B6" s="3">
        <v>163</v>
      </c>
      <c r="C6" s="3">
        <v>331</v>
      </c>
      <c r="D6" s="3">
        <v>39</v>
      </c>
      <c r="E6" s="3">
        <v>247</v>
      </c>
    </row>
    <row r="7" spans="1:5" x14ac:dyDescent="0.25">
      <c r="A7" s="2" t="s">
        <v>539</v>
      </c>
      <c r="B7" s="3">
        <v>114</v>
      </c>
      <c r="C7" s="3">
        <v>304</v>
      </c>
      <c r="D7" s="3">
        <v>21</v>
      </c>
      <c r="E7" s="3">
        <v>102</v>
      </c>
    </row>
    <row r="8" spans="1:5" x14ac:dyDescent="0.25">
      <c r="A8" s="2" t="s">
        <v>540</v>
      </c>
      <c r="B8" s="3">
        <v>104</v>
      </c>
      <c r="C8" s="3">
        <v>185</v>
      </c>
      <c r="D8" s="3">
        <v>31</v>
      </c>
      <c r="E8" s="3">
        <v>260</v>
      </c>
    </row>
    <row r="9" spans="1:5" x14ac:dyDescent="0.25">
      <c r="A9" s="2" t="s">
        <v>541</v>
      </c>
      <c r="B9" s="3">
        <v>146</v>
      </c>
      <c r="C9" s="3">
        <v>420</v>
      </c>
      <c r="D9" s="3">
        <v>47</v>
      </c>
      <c r="E9" s="3">
        <v>225</v>
      </c>
    </row>
    <row r="10" spans="1:5" x14ac:dyDescent="0.25">
      <c r="A10" s="2" t="s">
        <v>542</v>
      </c>
      <c r="B10" s="3">
        <v>190</v>
      </c>
      <c r="C10" s="3">
        <v>378</v>
      </c>
      <c r="D10" s="3">
        <v>65</v>
      </c>
      <c r="E10" s="3">
        <v>197</v>
      </c>
    </row>
    <row r="11" spans="1:5" x14ac:dyDescent="0.25">
      <c r="A11" s="2" t="s">
        <v>543</v>
      </c>
      <c r="B11" s="3">
        <v>150</v>
      </c>
      <c r="C11" s="3">
        <v>414</v>
      </c>
      <c r="D11" s="3">
        <v>36</v>
      </c>
      <c r="E11" s="3">
        <v>374</v>
      </c>
    </row>
    <row r="12" spans="1:5" x14ac:dyDescent="0.25">
      <c r="A12" s="2" t="s">
        <v>544</v>
      </c>
      <c r="B12" s="3">
        <v>159</v>
      </c>
      <c r="C12" s="3">
        <v>386</v>
      </c>
      <c r="D12" s="3">
        <v>88</v>
      </c>
      <c r="E12" s="3">
        <v>279</v>
      </c>
    </row>
    <row r="13" spans="1:5" x14ac:dyDescent="0.25">
      <c r="A13" s="2" t="s">
        <v>545</v>
      </c>
      <c r="B13" s="3">
        <v>166</v>
      </c>
      <c r="C13" s="3">
        <v>315</v>
      </c>
      <c r="D13" s="3">
        <v>43</v>
      </c>
      <c r="E13" s="3">
        <v>291</v>
      </c>
    </row>
    <row r="14" spans="1:5" x14ac:dyDescent="0.25">
      <c r="A14" s="2" t="s">
        <v>546</v>
      </c>
      <c r="B14" s="3">
        <v>163</v>
      </c>
      <c r="C14" s="3">
        <v>356</v>
      </c>
      <c r="D14" s="3">
        <v>15</v>
      </c>
      <c r="E14" s="3">
        <v>97</v>
      </c>
    </row>
    <row r="15" spans="1:5" x14ac:dyDescent="0.25">
      <c r="A15" s="2" t="s">
        <v>547</v>
      </c>
      <c r="B15" s="3">
        <v>125</v>
      </c>
      <c r="C15" s="3">
        <v>228</v>
      </c>
      <c r="D15" s="3">
        <v>51</v>
      </c>
      <c r="E15" s="3">
        <v>335</v>
      </c>
    </row>
    <row r="16" spans="1:5" x14ac:dyDescent="0.25">
      <c r="A16" s="2" t="s">
        <v>548</v>
      </c>
      <c r="B16" s="3">
        <v>139</v>
      </c>
      <c r="C16" s="3">
        <v>411</v>
      </c>
      <c r="D16" s="3">
        <v>49</v>
      </c>
      <c r="E16" s="3">
        <v>223</v>
      </c>
    </row>
    <row r="17" spans="1:5" x14ac:dyDescent="0.25">
      <c r="A17" s="2" t="s">
        <v>549</v>
      </c>
      <c r="B17" s="3">
        <v>150</v>
      </c>
      <c r="C17" s="3">
        <v>348</v>
      </c>
      <c r="D17" s="3">
        <v>73</v>
      </c>
      <c r="E17" s="3">
        <v>459</v>
      </c>
    </row>
    <row r="18" spans="1:5" x14ac:dyDescent="0.25">
      <c r="A18" s="2" t="s">
        <v>550</v>
      </c>
      <c r="B18" s="3">
        <v>133</v>
      </c>
      <c r="C18" s="3">
        <v>468</v>
      </c>
      <c r="D18" s="3">
        <v>24</v>
      </c>
      <c r="E18" s="3">
        <v>322</v>
      </c>
    </row>
    <row r="19" spans="1:5" x14ac:dyDescent="0.25">
      <c r="A19" s="2" t="s">
        <v>551</v>
      </c>
      <c r="B19" s="3">
        <v>190</v>
      </c>
      <c r="C19" s="3">
        <v>350</v>
      </c>
      <c r="D19" s="3">
        <v>82</v>
      </c>
      <c r="E19" s="3">
        <v>328</v>
      </c>
    </row>
    <row r="20" spans="1:5" x14ac:dyDescent="0.25">
      <c r="A20" s="2" t="s">
        <v>552</v>
      </c>
      <c r="B20" s="3">
        <v>213</v>
      </c>
      <c r="C20" s="3">
        <v>394</v>
      </c>
      <c r="D20" s="3">
        <v>43</v>
      </c>
      <c r="E20" s="3">
        <v>335</v>
      </c>
    </row>
    <row r="21" spans="1:5" x14ac:dyDescent="0.25">
      <c r="A21" s="2" t="s">
        <v>553</v>
      </c>
      <c r="B21" s="3">
        <v>177</v>
      </c>
      <c r="C21" s="3">
        <v>365</v>
      </c>
      <c r="D21" s="3">
        <v>42</v>
      </c>
      <c r="E21" s="3">
        <v>142</v>
      </c>
    </row>
    <row r="22" spans="1:5" x14ac:dyDescent="0.25">
      <c r="A22" s="2" t="s">
        <v>554</v>
      </c>
      <c r="B22" s="3">
        <v>134</v>
      </c>
      <c r="C22" s="3">
        <v>189</v>
      </c>
      <c r="D22" s="3">
        <v>78</v>
      </c>
      <c r="E22" s="3">
        <v>306</v>
      </c>
    </row>
    <row r="23" spans="1:5" x14ac:dyDescent="0.25">
      <c r="A23" s="2" t="s">
        <v>555</v>
      </c>
      <c r="B23" s="3">
        <v>158</v>
      </c>
      <c r="C23" s="3">
        <v>300</v>
      </c>
      <c r="D23" s="3">
        <v>67</v>
      </c>
      <c r="E23" s="3">
        <v>209</v>
      </c>
    </row>
    <row r="24" spans="1:5" x14ac:dyDescent="0.25">
      <c r="A24" s="2" t="s">
        <v>556</v>
      </c>
      <c r="B24" s="3">
        <v>177</v>
      </c>
      <c r="C24" s="3">
        <v>259</v>
      </c>
      <c r="D24" s="3">
        <v>71</v>
      </c>
      <c r="E24" s="3">
        <v>183</v>
      </c>
    </row>
    <row r="25" spans="1:5" x14ac:dyDescent="0.25">
      <c r="A25" s="2" t="s">
        <v>557</v>
      </c>
      <c r="B25" s="3">
        <v>138</v>
      </c>
      <c r="C25" s="3">
        <v>260</v>
      </c>
      <c r="D25" s="3">
        <v>74</v>
      </c>
      <c r="E25" s="3">
        <v>258</v>
      </c>
    </row>
    <row r="26" spans="1:5" x14ac:dyDescent="0.25">
      <c r="A26" s="2" t="s">
        <v>558</v>
      </c>
      <c r="B26" s="3">
        <v>152</v>
      </c>
      <c r="C26" s="3">
        <v>240</v>
      </c>
      <c r="D26" s="3">
        <v>109</v>
      </c>
      <c r="E26" s="3">
        <v>211</v>
      </c>
    </row>
    <row r="27" spans="1:5" x14ac:dyDescent="0.25">
      <c r="A27" s="2" t="s">
        <v>559</v>
      </c>
      <c r="B27" s="3">
        <v>154</v>
      </c>
      <c r="C27" s="3">
        <v>240</v>
      </c>
      <c r="D27" s="3">
        <v>80</v>
      </c>
      <c r="E27" s="3">
        <v>192</v>
      </c>
    </row>
    <row r="28" spans="1:5" x14ac:dyDescent="0.25">
      <c r="A28" s="2" t="s">
        <v>560</v>
      </c>
      <c r="B28" s="3">
        <v>127</v>
      </c>
      <c r="C28" s="3">
        <v>241</v>
      </c>
      <c r="D28" s="3">
        <v>48</v>
      </c>
      <c r="E28" s="3">
        <v>109</v>
      </c>
    </row>
    <row r="29" spans="1:5" x14ac:dyDescent="0.25">
      <c r="A29" s="2" t="s">
        <v>561</v>
      </c>
      <c r="B29" s="3">
        <v>102</v>
      </c>
      <c r="C29" s="3">
        <v>155</v>
      </c>
      <c r="D29" s="3">
        <v>78</v>
      </c>
      <c r="E29" s="3">
        <v>199</v>
      </c>
    </row>
    <row r="30" spans="1:5" x14ac:dyDescent="0.25">
      <c r="A30" s="2" t="s">
        <v>562</v>
      </c>
      <c r="B30" s="3">
        <v>143</v>
      </c>
      <c r="C30" s="3">
        <v>271</v>
      </c>
      <c r="D30" s="3">
        <v>64</v>
      </c>
      <c r="E30" s="3">
        <v>176</v>
      </c>
    </row>
    <row r="31" spans="1:5" x14ac:dyDescent="0.25">
      <c r="A31" s="2" t="s">
        <v>563</v>
      </c>
      <c r="B31" s="3">
        <v>125</v>
      </c>
      <c r="C31" s="3">
        <v>228</v>
      </c>
      <c r="D31" s="3">
        <v>98</v>
      </c>
      <c r="E31" s="3">
        <v>164</v>
      </c>
    </row>
    <row r="32" spans="1:5" x14ac:dyDescent="0.25">
      <c r="A32" s="2" t="s">
        <v>564</v>
      </c>
      <c r="B32" s="3">
        <v>111</v>
      </c>
      <c r="C32" s="3">
        <v>311</v>
      </c>
      <c r="D32" s="3">
        <v>56</v>
      </c>
      <c r="E32" s="3">
        <v>224</v>
      </c>
    </row>
    <row r="33" spans="1:5" x14ac:dyDescent="0.25">
      <c r="A33" s="2" t="s">
        <v>565</v>
      </c>
      <c r="B33" s="3">
        <v>114</v>
      </c>
      <c r="C33" s="3">
        <v>209</v>
      </c>
      <c r="D33" s="3">
        <v>119</v>
      </c>
      <c r="E33" s="3">
        <v>147</v>
      </c>
    </row>
    <row r="34" spans="1:5" x14ac:dyDescent="0.25">
      <c r="A34" s="1" t="s">
        <v>36</v>
      </c>
      <c r="B34" s="1">
        <f>SUM(B3:B33)</f>
        <v>4549</v>
      </c>
      <c r="C34" s="1">
        <f>SUM(C3:C33)</f>
        <v>9646</v>
      </c>
      <c r="D34" s="1">
        <f>SUM(D3:D33)</f>
        <v>1867</v>
      </c>
      <c r="E34" s="1">
        <f>SUM(E3:E33)</f>
        <v>7375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0A7B-E14C-49B5-8052-8AAFE0DD0C89}">
  <dimension ref="A1:E34"/>
  <sheetViews>
    <sheetView workbookViewId="0">
      <selection activeCell="H18" sqref="H18:I18"/>
    </sheetView>
  </sheetViews>
  <sheetFormatPr defaultRowHeight="15" x14ac:dyDescent="0.25"/>
  <sheetData>
    <row r="1" spans="1:5" x14ac:dyDescent="0.25">
      <c r="A1" s="21">
        <v>45870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566</v>
      </c>
      <c r="B3" s="3">
        <v>89</v>
      </c>
      <c r="C3" s="3">
        <v>180</v>
      </c>
      <c r="D3" s="3">
        <v>54</v>
      </c>
      <c r="E3" s="3">
        <v>126</v>
      </c>
    </row>
    <row r="4" spans="1:5" x14ac:dyDescent="0.25">
      <c r="A4" s="2" t="s">
        <v>567</v>
      </c>
      <c r="B4" s="3">
        <v>76</v>
      </c>
      <c r="C4" s="3">
        <v>188</v>
      </c>
      <c r="D4" s="3">
        <v>35</v>
      </c>
      <c r="E4" s="3">
        <v>95</v>
      </c>
    </row>
    <row r="5" spans="1:5" x14ac:dyDescent="0.25">
      <c r="A5" s="2" t="s">
        <v>568</v>
      </c>
      <c r="B5" s="3">
        <v>86</v>
      </c>
      <c r="C5" s="3">
        <v>119</v>
      </c>
      <c r="D5" s="3">
        <v>51</v>
      </c>
      <c r="E5" s="3">
        <v>190</v>
      </c>
    </row>
    <row r="6" spans="1:5" x14ac:dyDescent="0.25">
      <c r="A6" s="2" t="s">
        <v>569</v>
      </c>
      <c r="B6" s="3">
        <v>109</v>
      </c>
      <c r="C6" s="3">
        <v>303</v>
      </c>
      <c r="D6" s="3">
        <v>52</v>
      </c>
      <c r="E6" s="3">
        <v>167</v>
      </c>
    </row>
    <row r="7" spans="1:5" x14ac:dyDescent="0.25">
      <c r="A7" s="2" t="s">
        <v>570</v>
      </c>
      <c r="B7" s="3">
        <v>152</v>
      </c>
      <c r="C7" s="3">
        <v>278</v>
      </c>
      <c r="D7" s="3">
        <v>92</v>
      </c>
      <c r="E7" s="3">
        <v>184</v>
      </c>
    </row>
    <row r="8" spans="1:5" x14ac:dyDescent="0.25">
      <c r="A8" s="2" t="s">
        <v>571</v>
      </c>
      <c r="B8" s="3">
        <v>135</v>
      </c>
      <c r="C8" s="3">
        <v>358</v>
      </c>
      <c r="D8" s="3">
        <v>43</v>
      </c>
      <c r="E8" s="3">
        <v>255</v>
      </c>
    </row>
    <row r="9" spans="1:5" x14ac:dyDescent="0.25">
      <c r="A9" s="2" t="s">
        <v>572</v>
      </c>
      <c r="B9" s="3">
        <v>117</v>
      </c>
      <c r="C9" s="3">
        <v>263</v>
      </c>
      <c r="D9" s="3">
        <v>97</v>
      </c>
      <c r="E9" s="3">
        <v>193</v>
      </c>
    </row>
    <row r="10" spans="1:5" x14ac:dyDescent="0.25">
      <c r="A10" s="2" t="s">
        <v>573</v>
      </c>
      <c r="B10" s="3">
        <v>105</v>
      </c>
      <c r="C10" s="3">
        <v>233</v>
      </c>
      <c r="D10" s="3">
        <v>36</v>
      </c>
      <c r="E10" s="3">
        <v>132</v>
      </c>
    </row>
    <row r="11" spans="1:5" x14ac:dyDescent="0.25">
      <c r="A11" s="2" t="s">
        <v>574</v>
      </c>
      <c r="B11" s="3">
        <v>41</v>
      </c>
      <c r="C11" s="3">
        <v>132</v>
      </c>
      <c r="D11" s="3">
        <v>21</v>
      </c>
      <c r="E11" s="3">
        <v>70</v>
      </c>
    </row>
    <row r="12" spans="1:5" x14ac:dyDescent="0.25">
      <c r="A12" s="2" t="s">
        <v>575</v>
      </c>
      <c r="B12" s="3">
        <v>60</v>
      </c>
      <c r="C12" s="3">
        <v>103</v>
      </c>
      <c r="D12" s="3">
        <v>47</v>
      </c>
      <c r="E12" s="3">
        <v>243</v>
      </c>
    </row>
    <row r="13" spans="1:5" x14ac:dyDescent="0.25">
      <c r="A13" s="2" t="s">
        <v>576</v>
      </c>
      <c r="B13" s="3">
        <v>199</v>
      </c>
      <c r="C13" s="3">
        <v>505</v>
      </c>
      <c r="D13" s="3">
        <v>102</v>
      </c>
      <c r="E13" s="3">
        <v>345</v>
      </c>
    </row>
    <row r="14" spans="1:5" x14ac:dyDescent="0.25">
      <c r="A14" s="2" t="s">
        <v>577</v>
      </c>
      <c r="B14" s="3">
        <v>225</v>
      </c>
      <c r="C14" s="3">
        <v>449</v>
      </c>
      <c r="D14" s="3">
        <v>173</v>
      </c>
      <c r="E14" s="3">
        <v>315</v>
      </c>
    </row>
    <row r="15" spans="1:5" x14ac:dyDescent="0.25">
      <c r="A15" s="2" t="s">
        <v>578</v>
      </c>
      <c r="B15" s="3">
        <v>209</v>
      </c>
      <c r="C15" s="3">
        <v>572</v>
      </c>
      <c r="D15" s="3">
        <v>97</v>
      </c>
      <c r="E15" s="3">
        <v>431</v>
      </c>
    </row>
    <row r="16" spans="1:5" x14ac:dyDescent="0.25">
      <c r="A16" s="2" t="s">
        <v>579</v>
      </c>
      <c r="B16" s="3">
        <v>123</v>
      </c>
      <c r="C16" s="3">
        <v>648</v>
      </c>
      <c r="D16" s="3">
        <v>157</v>
      </c>
      <c r="E16" s="3">
        <v>212</v>
      </c>
    </row>
    <row r="17" spans="1:5" x14ac:dyDescent="0.25">
      <c r="A17" s="2" t="s">
        <v>580</v>
      </c>
      <c r="B17" s="3">
        <v>116</v>
      </c>
      <c r="C17" s="3">
        <v>168</v>
      </c>
      <c r="D17" s="3">
        <v>52</v>
      </c>
      <c r="E17" s="3">
        <v>225</v>
      </c>
    </row>
    <row r="18" spans="1:5" x14ac:dyDescent="0.25">
      <c r="A18" s="2" t="s">
        <v>581</v>
      </c>
      <c r="B18" s="3">
        <v>77</v>
      </c>
      <c r="C18" s="3">
        <v>235</v>
      </c>
      <c r="D18" s="3">
        <v>28</v>
      </c>
      <c r="E18" s="3">
        <v>98</v>
      </c>
    </row>
    <row r="19" spans="1:5" x14ac:dyDescent="0.25">
      <c r="A19" s="2" t="s">
        <v>582</v>
      </c>
      <c r="B19" s="3">
        <v>101</v>
      </c>
      <c r="C19" s="3">
        <v>182</v>
      </c>
      <c r="D19" s="3">
        <v>82</v>
      </c>
      <c r="E19" s="3">
        <v>300</v>
      </c>
    </row>
    <row r="20" spans="1:5" x14ac:dyDescent="0.25">
      <c r="A20" s="2" t="s">
        <v>583</v>
      </c>
      <c r="B20" s="3">
        <v>163</v>
      </c>
      <c r="C20" s="3">
        <v>467</v>
      </c>
      <c r="D20" s="3">
        <v>123</v>
      </c>
      <c r="E20" s="3">
        <v>331</v>
      </c>
    </row>
    <row r="21" spans="1:5" x14ac:dyDescent="0.25">
      <c r="A21" s="2" t="s">
        <v>584</v>
      </c>
      <c r="B21" s="3">
        <v>202</v>
      </c>
      <c r="C21" s="3">
        <v>478</v>
      </c>
      <c r="D21" s="3">
        <v>183</v>
      </c>
      <c r="E21" s="3">
        <v>316</v>
      </c>
    </row>
    <row r="22" spans="1:5" x14ac:dyDescent="0.25">
      <c r="A22" s="2" t="s">
        <v>585</v>
      </c>
      <c r="B22" s="3">
        <v>245</v>
      </c>
      <c r="C22" s="3">
        <v>577</v>
      </c>
      <c r="D22" s="3">
        <v>187</v>
      </c>
      <c r="E22" s="3">
        <v>509</v>
      </c>
    </row>
    <row r="23" spans="1:5" x14ac:dyDescent="0.25">
      <c r="A23" s="2" t="s">
        <v>586</v>
      </c>
      <c r="B23" s="3">
        <v>209</v>
      </c>
      <c r="C23" s="3">
        <v>448</v>
      </c>
      <c r="D23" s="3">
        <v>240</v>
      </c>
      <c r="E23" s="3">
        <v>305</v>
      </c>
    </row>
    <row r="24" spans="1:5" x14ac:dyDescent="0.25">
      <c r="A24" s="2" t="s">
        <v>587</v>
      </c>
      <c r="B24" s="3">
        <v>220</v>
      </c>
      <c r="C24" s="3">
        <v>400</v>
      </c>
      <c r="D24" s="3">
        <v>87</v>
      </c>
      <c r="E24" s="3">
        <v>402</v>
      </c>
    </row>
    <row r="25" spans="1:5" x14ac:dyDescent="0.25">
      <c r="A25" s="2" t="s">
        <v>588</v>
      </c>
      <c r="B25" s="3">
        <v>187</v>
      </c>
      <c r="C25" s="3">
        <v>558</v>
      </c>
      <c r="D25" s="3">
        <v>51</v>
      </c>
      <c r="E25" s="3">
        <v>141</v>
      </c>
    </row>
    <row r="26" spans="1:5" x14ac:dyDescent="0.25">
      <c r="A26" s="2" t="s">
        <v>589</v>
      </c>
      <c r="B26" s="3">
        <v>136</v>
      </c>
      <c r="C26" s="3">
        <v>223</v>
      </c>
      <c r="D26" s="3">
        <v>107</v>
      </c>
      <c r="E26" s="3">
        <v>375</v>
      </c>
    </row>
    <row r="27" spans="1:5" x14ac:dyDescent="0.25">
      <c r="A27" s="2" t="s">
        <v>590</v>
      </c>
      <c r="B27" s="3">
        <v>208</v>
      </c>
      <c r="C27" s="3">
        <v>478</v>
      </c>
      <c r="D27" s="3">
        <v>166</v>
      </c>
      <c r="E27" s="3">
        <v>345</v>
      </c>
    </row>
    <row r="28" spans="1:5" x14ac:dyDescent="0.25">
      <c r="A28" s="2" t="s">
        <v>591</v>
      </c>
      <c r="B28" s="3">
        <v>221</v>
      </c>
      <c r="C28" s="3">
        <v>427</v>
      </c>
      <c r="D28" s="3">
        <v>230</v>
      </c>
      <c r="E28" s="3">
        <v>292</v>
      </c>
    </row>
    <row r="29" spans="1:5" x14ac:dyDescent="0.25">
      <c r="A29" s="2" t="s">
        <v>592</v>
      </c>
      <c r="B29" s="3">
        <v>225</v>
      </c>
      <c r="C29" s="3">
        <v>551</v>
      </c>
      <c r="D29" s="3">
        <v>196</v>
      </c>
      <c r="E29" s="3">
        <v>449</v>
      </c>
    </row>
    <row r="30" spans="1:5" x14ac:dyDescent="0.25">
      <c r="A30" s="2" t="s">
        <v>593</v>
      </c>
      <c r="B30" s="3">
        <v>199</v>
      </c>
      <c r="C30" s="3">
        <v>365</v>
      </c>
      <c r="D30" s="3">
        <v>216</v>
      </c>
      <c r="E30" s="3">
        <v>232</v>
      </c>
    </row>
    <row r="31" spans="1:5" x14ac:dyDescent="0.25">
      <c r="A31" s="2" t="s">
        <v>594</v>
      </c>
      <c r="B31" s="3">
        <v>120</v>
      </c>
      <c r="C31" s="3">
        <v>275</v>
      </c>
      <c r="D31" s="3">
        <v>65</v>
      </c>
      <c r="E31" s="3">
        <v>270</v>
      </c>
    </row>
    <row r="32" spans="1:5" x14ac:dyDescent="0.25">
      <c r="A32" s="2" t="s">
        <v>595</v>
      </c>
      <c r="B32" s="3">
        <v>95</v>
      </c>
      <c r="C32" s="3">
        <v>299</v>
      </c>
      <c r="D32" s="3">
        <v>28</v>
      </c>
      <c r="E32" s="3">
        <v>88</v>
      </c>
    </row>
    <row r="33" spans="1:5" x14ac:dyDescent="0.25">
      <c r="A33" s="2" t="s">
        <v>596</v>
      </c>
      <c r="B33" s="3">
        <v>97</v>
      </c>
      <c r="C33" s="3">
        <v>164</v>
      </c>
      <c r="D33" s="3">
        <v>88</v>
      </c>
      <c r="E33" s="3">
        <v>293</v>
      </c>
    </row>
    <row r="34" spans="1:5" x14ac:dyDescent="0.25">
      <c r="A34" s="1" t="s">
        <v>36</v>
      </c>
      <c r="B34" s="1">
        <f>SUM(B3:B33)</f>
        <v>4547</v>
      </c>
      <c r="C34" s="1">
        <f>SUM(C3:C33)</f>
        <v>10626</v>
      </c>
      <c r="D34" s="1">
        <f>SUM(D3:D33)</f>
        <v>3186</v>
      </c>
      <c r="E34" s="1">
        <f>SUM(E3:E33)</f>
        <v>7929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CAA1-0B6E-478A-81E0-1D7D6BA2C37F}">
  <dimension ref="B2:F35"/>
  <sheetViews>
    <sheetView workbookViewId="0">
      <selection activeCell="F18" sqref="F18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</cols>
  <sheetData>
    <row r="2" spans="2:6" x14ac:dyDescent="0.25">
      <c r="B2" s="21">
        <v>45901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597</v>
      </c>
      <c r="C4" s="3">
        <v>177</v>
      </c>
      <c r="D4" s="3">
        <v>475</v>
      </c>
      <c r="E4" s="3">
        <v>160</v>
      </c>
      <c r="F4" s="3">
        <v>425</v>
      </c>
    </row>
    <row r="5" spans="2:6" x14ac:dyDescent="0.25">
      <c r="B5" s="2" t="s">
        <v>598</v>
      </c>
      <c r="C5" s="3">
        <v>264</v>
      </c>
      <c r="D5" s="3">
        <v>523</v>
      </c>
      <c r="E5" s="3">
        <v>245</v>
      </c>
      <c r="F5" s="3">
        <v>440</v>
      </c>
    </row>
    <row r="6" spans="2:6" x14ac:dyDescent="0.25">
      <c r="B6" s="2" t="s">
        <v>599</v>
      </c>
      <c r="C6" s="3">
        <v>286</v>
      </c>
      <c r="D6" s="3">
        <v>620</v>
      </c>
      <c r="E6" s="3">
        <v>224</v>
      </c>
      <c r="F6" s="3">
        <v>532</v>
      </c>
    </row>
    <row r="7" spans="2:6" x14ac:dyDescent="0.25">
      <c r="B7" s="2" t="s">
        <v>600</v>
      </c>
      <c r="C7" s="3">
        <v>220</v>
      </c>
      <c r="D7" s="3">
        <v>465</v>
      </c>
      <c r="E7" s="3">
        <v>250</v>
      </c>
      <c r="F7" s="3">
        <v>265</v>
      </c>
    </row>
    <row r="8" spans="2:6" x14ac:dyDescent="0.25">
      <c r="B8" s="2" t="s">
        <v>601</v>
      </c>
      <c r="C8" s="3">
        <v>156</v>
      </c>
      <c r="D8" s="3">
        <v>296</v>
      </c>
      <c r="E8" s="3">
        <v>78</v>
      </c>
      <c r="F8" s="3">
        <v>290</v>
      </c>
    </row>
    <row r="9" spans="2:6" x14ac:dyDescent="0.25">
      <c r="B9" s="2" t="s">
        <v>602</v>
      </c>
      <c r="C9" s="3">
        <v>99</v>
      </c>
      <c r="D9" s="3">
        <v>339</v>
      </c>
      <c r="E9" s="3">
        <v>71</v>
      </c>
      <c r="F9" s="3">
        <v>116</v>
      </c>
    </row>
    <row r="10" spans="2:6" x14ac:dyDescent="0.25">
      <c r="B10" s="2" t="s">
        <v>603</v>
      </c>
      <c r="C10" s="3">
        <v>122</v>
      </c>
      <c r="D10" s="3">
        <v>233</v>
      </c>
      <c r="E10" s="3">
        <v>120</v>
      </c>
      <c r="F10" s="3">
        <v>400</v>
      </c>
    </row>
    <row r="11" spans="2:6" x14ac:dyDescent="0.25">
      <c r="B11" s="2" t="s">
        <v>604</v>
      </c>
      <c r="C11" s="3">
        <v>228</v>
      </c>
      <c r="D11" s="3">
        <v>520</v>
      </c>
      <c r="E11" s="3">
        <v>128</v>
      </c>
      <c r="F11" s="3">
        <v>411</v>
      </c>
    </row>
    <row r="12" spans="2:6" x14ac:dyDescent="0.25">
      <c r="B12" s="2" t="s">
        <v>605</v>
      </c>
      <c r="C12" s="3">
        <v>249</v>
      </c>
      <c r="D12" s="3">
        <v>519</v>
      </c>
      <c r="E12" s="3">
        <v>274</v>
      </c>
      <c r="F12" s="3">
        <v>418</v>
      </c>
    </row>
    <row r="13" spans="2:6" x14ac:dyDescent="0.25">
      <c r="B13" s="2" t="s">
        <v>606</v>
      </c>
      <c r="C13" s="3">
        <v>290</v>
      </c>
      <c r="D13" s="3">
        <v>612</v>
      </c>
      <c r="E13" s="3">
        <v>240</v>
      </c>
      <c r="F13" s="3">
        <v>612</v>
      </c>
    </row>
    <row r="14" spans="2:6" ht="13.5" customHeight="1" x14ac:dyDescent="0.25">
      <c r="B14" s="2" t="s">
        <v>607</v>
      </c>
      <c r="C14" s="3">
        <v>234</v>
      </c>
      <c r="D14" s="3">
        <v>481</v>
      </c>
      <c r="E14" s="3">
        <v>280</v>
      </c>
      <c r="F14" s="3">
        <v>375</v>
      </c>
    </row>
    <row r="15" spans="2:6" x14ac:dyDescent="0.25">
      <c r="B15" s="2" t="s">
        <v>608</v>
      </c>
      <c r="C15" s="3">
        <v>241</v>
      </c>
      <c r="D15" s="3">
        <v>455</v>
      </c>
      <c r="E15" s="3">
        <v>93</v>
      </c>
      <c r="F15" s="3">
        <v>282</v>
      </c>
    </row>
    <row r="16" spans="2:6" x14ac:dyDescent="0.25">
      <c r="B16" s="2" t="s">
        <v>609</v>
      </c>
      <c r="C16" s="3">
        <v>156</v>
      </c>
      <c r="D16" s="3">
        <v>464</v>
      </c>
      <c r="E16" s="3">
        <v>102</v>
      </c>
      <c r="F16" s="3">
        <v>149</v>
      </c>
    </row>
    <row r="17" spans="2:6" x14ac:dyDescent="0.25">
      <c r="B17" s="2" t="s">
        <v>610</v>
      </c>
      <c r="C17" s="3">
        <v>125</v>
      </c>
      <c r="D17" s="3">
        <v>254</v>
      </c>
      <c r="E17" s="3">
        <v>169</v>
      </c>
      <c r="F17" s="3">
        <v>470</v>
      </c>
    </row>
    <row r="18" spans="2:6" x14ac:dyDescent="0.25">
      <c r="B18" s="2" t="s">
        <v>611</v>
      </c>
      <c r="C18" s="3">
        <v>201</v>
      </c>
      <c r="D18" s="3">
        <v>538</v>
      </c>
      <c r="E18" s="3">
        <v>189</v>
      </c>
      <c r="F18" s="3">
        <v>441</v>
      </c>
    </row>
    <row r="19" spans="2:6" x14ac:dyDescent="0.25">
      <c r="B19" s="2" t="s">
        <v>612</v>
      </c>
      <c r="C19" s="3">
        <v>235</v>
      </c>
      <c r="D19" s="3">
        <v>460</v>
      </c>
      <c r="E19" s="3">
        <v>254</v>
      </c>
      <c r="F19" s="3">
        <v>444</v>
      </c>
    </row>
    <row r="20" spans="2:6" x14ac:dyDescent="0.25">
      <c r="B20" s="2" t="s">
        <v>613</v>
      </c>
      <c r="C20" s="3">
        <v>266</v>
      </c>
      <c r="D20" s="3">
        <v>608</v>
      </c>
      <c r="E20" s="3">
        <v>255</v>
      </c>
      <c r="F20" s="3">
        <v>572</v>
      </c>
    </row>
    <row r="21" spans="2:6" x14ac:dyDescent="0.25">
      <c r="B21" s="2" t="s">
        <v>614</v>
      </c>
      <c r="C21" s="3">
        <v>208</v>
      </c>
      <c r="D21" s="3">
        <v>465</v>
      </c>
      <c r="E21" s="3">
        <v>243</v>
      </c>
      <c r="F21" s="3">
        <v>411</v>
      </c>
    </row>
    <row r="22" spans="2:6" x14ac:dyDescent="0.25">
      <c r="B22" s="2" t="s">
        <v>615</v>
      </c>
      <c r="C22" s="3">
        <v>242</v>
      </c>
      <c r="D22" s="3">
        <v>461</v>
      </c>
      <c r="E22" s="3">
        <v>123</v>
      </c>
      <c r="F22" s="3">
        <v>540</v>
      </c>
    </row>
    <row r="23" spans="2:6" x14ac:dyDescent="0.25">
      <c r="B23" s="2" t="s">
        <v>616</v>
      </c>
      <c r="C23" s="3">
        <v>210</v>
      </c>
      <c r="D23" s="3">
        <v>606</v>
      </c>
      <c r="E23" s="3">
        <v>199</v>
      </c>
      <c r="F23" s="3">
        <v>170</v>
      </c>
    </row>
    <row r="24" spans="2:6" x14ac:dyDescent="0.25">
      <c r="B24" s="2" t="s">
        <v>617</v>
      </c>
      <c r="C24" s="3">
        <v>212</v>
      </c>
      <c r="D24" s="3">
        <v>315</v>
      </c>
      <c r="E24" s="3">
        <v>223</v>
      </c>
      <c r="F24" s="3">
        <v>546</v>
      </c>
    </row>
    <row r="25" spans="2:6" x14ac:dyDescent="0.25">
      <c r="B25" s="2" t="s">
        <v>618</v>
      </c>
      <c r="C25" s="3">
        <v>231</v>
      </c>
      <c r="D25" s="3">
        <v>500</v>
      </c>
      <c r="E25" s="3">
        <v>148</v>
      </c>
      <c r="F25" s="3">
        <v>378</v>
      </c>
    </row>
    <row r="26" spans="2:6" x14ac:dyDescent="0.25">
      <c r="B26" s="2" t="s">
        <v>619</v>
      </c>
      <c r="C26" s="3">
        <v>190</v>
      </c>
      <c r="D26" s="3">
        <v>395</v>
      </c>
      <c r="E26" s="3">
        <v>215</v>
      </c>
      <c r="F26" s="3">
        <v>315</v>
      </c>
    </row>
    <row r="27" spans="2:6" x14ac:dyDescent="0.25">
      <c r="B27" s="2" t="s">
        <v>620</v>
      </c>
      <c r="C27" s="3">
        <v>232</v>
      </c>
      <c r="D27" s="3">
        <v>495</v>
      </c>
      <c r="E27" s="3">
        <v>202</v>
      </c>
      <c r="F27" s="3">
        <v>430</v>
      </c>
    </row>
    <row r="28" spans="2:6" x14ac:dyDescent="0.25">
      <c r="B28" s="2" t="s">
        <v>621</v>
      </c>
      <c r="C28" s="3">
        <v>192</v>
      </c>
      <c r="D28" s="3">
        <v>362</v>
      </c>
      <c r="E28" s="3">
        <v>268</v>
      </c>
      <c r="F28" s="3">
        <v>328</v>
      </c>
    </row>
    <row r="29" spans="2:6" x14ac:dyDescent="0.25">
      <c r="B29" s="2" t="s">
        <v>622</v>
      </c>
      <c r="C29" s="3">
        <v>226</v>
      </c>
      <c r="D29" s="3">
        <v>331</v>
      </c>
      <c r="E29" s="3">
        <v>130</v>
      </c>
      <c r="F29" s="3">
        <v>390</v>
      </c>
    </row>
    <row r="30" spans="2:6" x14ac:dyDescent="0.25">
      <c r="B30" s="2" t="s">
        <v>623</v>
      </c>
      <c r="C30" s="3">
        <v>170</v>
      </c>
      <c r="D30" s="3">
        <v>430</v>
      </c>
      <c r="E30" s="3">
        <v>149</v>
      </c>
      <c r="F30" s="3">
        <v>115</v>
      </c>
    </row>
    <row r="31" spans="2:6" x14ac:dyDescent="0.25">
      <c r="B31" s="2" t="s">
        <v>624</v>
      </c>
      <c r="C31" s="3">
        <v>162</v>
      </c>
      <c r="D31" s="3">
        <v>225</v>
      </c>
      <c r="E31" s="3">
        <v>100</v>
      </c>
      <c r="F31" s="3">
        <v>250</v>
      </c>
    </row>
    <row r="32" spans="2:6" x14ac:dyDescent="0.25">
      <c r="B32" s="2" t="s">
        <v>625</v>
      </c>
      <c r="C32" s="3">
        <v>154</v>
      </c>
      <c r="D32" s="3">
        <v>424</v>
      </c>
      <c r="E32" s="3">
        <v>107</v>
      </c>
      <c r="F32" s="3">
        <v>310</v>
      </c>
    </row>
    <row r="33" spans="2:6" x14ac:dyDescent="0.25">
      <c r="B33" s="2" t="s">
        <v>626</v>
      </c>
      <c r="C33" s="3">
        <v>195</v>
      </c>
      <c r="D33" s="3">
        <v>312</v>
      </c>
      <c r="E33" s="3">
        <v>195</v>
      </c>
      <c r="F33" s="3">
        <v>260</v>
      </c>
    </row>
    <row r="34" spans="2:6" x14ac:dyDescent="0.25">
      <c r="B34" s="2"/>
      <c r="C34" s="3"/>
      <c r="D34" s="3"/>
      <c r="E34" s="3"/>
      <c r="F34" s="3"/>
    </row>
    <row r="35" spans="2:6" x14ac:dyDescent="0.25">
      <c r="B35" s="1" t="s">
        <v>36</v>
      </c>
      <c r="C35" s="1">
        <f>SUM(C4:C34)</f>
        <v>6173</v>
      </c>
      <c r="D35" s="1">
        <f>SUM(D4:D34)</f>
        <v>13183</v>
      </c>
      <c r="E35" s="1">
        <f>SUM(E4:E34)</f>
        <v>5434</v>
      </c>
      <c r="F35" s="1">
        <f>SUM(F4:F34)</f>
        <v>11085</v>
      </c>
    </row>
  </sheetData>
  <mergeCells count="1">
    <mergeCell ref="B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5673-86D5-4C79-AEC7-C7BF31F8AA77}">
  <dimension ref="B2:O35"/>
  <sheetViews>
    <sheetView workbookViewId="0">
      <selection activeCell="O14" sqref="O14"/>
    </sheetView>
  </sheetViews>
  <sheetFormatPr defaultRowHeight="15" x14ac:dyDescent="0.25"/>
  <cols>
    <col min="2" max="2" width="11.42578125" customWidth="1"/>
    <col min="3" max="3" width="13" customWidth="1"/>
    <col min="5" max="5" width="12.140625" bestFit="1" customWidth="1"/>
    <col min="11" max="11" width="11.85546875" style="4" customWidth="1"/>
    <col min="13" max="13" width="4.85546875" customWidth="1"/>
    <col min="14" max="14" width="8" bestFit="1" customWidth="1"/>
    <col min="15" max="15" width="9.5703125" customWidth="1"/>
  </cols>
  <sheetData>
    <row r="2" spans="2:6" x14ac:dyDescent="0.25">
      <c r="B2" s="21">
        <v>45931</v>
      </c>
      <c r="C2" s="21"/>
      <c r="D2" s="21"/>
      <c r="E2" s="21"/>
      <c r="F2" s="21"/>
    </row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627</v>
      </c>
      <c r="C4" s="3">
        <v>185</v>
      </c>
      <c r="D4" s="3">
        <v>526</v>
      </c>
      <c r="E4" s="3">
        <v>101</v>
      </c>
      <c r="F4" s="3">
        <v>272</v>
      </c>
    </row>
    <row r="5" spans="2:6" x14ac:dyDescent="0.25">
      <c r="B5" s="2" t="s">
        <v>628</v>
      </c>
      <c r="C5" s="3">
        <v>98</v>
      </c>
      <c r="D5" s="3">
        <v>238</v>
      </c>
      <c r="E5" s="3">
        <v>118</v>
      </c>
      <c r="F5" s="3">
        <v>196</v>
      </c>
    </row>
    <row r="6" spans="2:6" x14ac:dyDescent="0.25">
      <c r="B6" s="2" t="s">
        <v>629</v>
      </c>
      <c r="C6" s="3">
        <v>149</v>
      </c>
      <c r="D6" s="3">
        <v>303</v>
      </c>
      <c r="E6" s="3">
        <v>70</v>
      </c>
      <c r="F6" s="3">
        <v>250</v>
      </c>
    </row>
    <row r="7" spans="2:6" x14ac:dyDescent="0.25">
      <c r="B7" s="2" t="s">
        <v>630</v>
      </c>
      <c r="C7" s="3">
        <v>111</v>
      </c>
      <c r="D7" s="3">
        <v>322</v>
      </c>
      <c r="E7" s="3">
        <v>68</v>
      </c>
      <c r="F7" s="3">
        <v>102</v>
      </c>
    </row>
    <row r="8" spans="2:6" x14ac:dyDescent="0.25">
      <c r="B8" s="2" t="s">
        <v>631</v>
      </c>
      <c r="C8" s="3">
        <v>112</v>
      </c>
      <c r="D8" s="3">
        <v>216</v>
      </c>
      <c r="E8" s="3">
        <v>85</v>
      </c>
      <c r="F8" s="3">
        <v>352</v>
      </c>
    </row>
    <row r="9" spans="2:6" x14ac:dyDescent="0.25">
      <c r="B9" s="2" t="s">
        <v>632</v>
      </c>
      <c r="C9" s="3">
        <v>178</v>
      </c>
      <c r="D9" s="3">
        <v>525</v>
      </c>
      <c r="E9" s="3">
        <v>140</v>
      </c>
      <c r="F9" s="3">
        <v>421</v>
      </c>
    </row>
    <row r="10" spans="2:6" x14ac:dyDescent="0.25">
      <c r="B10" s="2" t="s">
        <v>633</v>
      </c>
      <c r="C10" s="3">
        <v>230</v>
      </c>
      <c r="D10" s="3">
        <v>469</v>
      </c>
      <c r="E10" s="3">
        <v>217</v>
      </c>
      <c r="F10" s="3">
        <v>382</v>
      </c>
    </row>
    <row r="11" spans="2:6" x14ac:dyDescent="0.25">
      <c r="B11" s="2" t="s">
        <v>634</v>
      </c>
      <c r="C11" s="3">
        <v>229</v>
      </c>
      <c r="D11" s="3">
        <v>596</v>
      </c>
      <c r="E11" s="3">
        <v>193</v>
      </c>
      <c r="F11" s="3">
        <v>524</v>
      </c>
    </row>
    <row r="12" spans="2:6" x14ac:dyDescent="0.25">
      <c r="B12" s="2" t="s">
        <v>635</v>
      </c>
      <c r="C12" s="3">
        <v>190</v>
      </c>
      <c r="D12" s="3">
        <v>459</v>
      </c>
      <c r="E12" s="3">
        <v>242</v>
      </c>
      <c r="F12" s="3">
        <v>335</v>
      </c>
    </row>
    <row r="13" spans="2:6" x14ac:dyDescent="0.25">
      <c r="B13" s="2" t="s">
        <v>636</v>
      </c>
      <c r="C13" s="3">
        <v>221</v>
      </c>
      <c r="D13" s="3">
        <v>426</v>
      </c>
      <c r="E13" s="3">
        <v>92</v>
      </c>
      <c r="F13" s="3">
        <v>358</v>
      </c>
    </row>
    <row r="14" spans="2:6" ht="13.5" customHeight="1" x14ac:dyDescent="0.25">
      <c r="B14" s="2" t="s">
        <v>637</v>
      </c>
      <c r="C14" s="3">
        <v>126</v>
      </c>
      <c r="D14" s="3">
        <v>385</v>
      </c>
      <c r="E14" s="3">
        <v>82</v>
      </c>
      <c r="F14" s="3">
        <v>110</v>
      </c>
    </row>
    <row r="15" spans="2:6" x14ac:dyDescent="0.25">
      <c r="B15" s="2" t="s">
        <v>638</v>
      </c>
      <c r="C15" s="3">
        <v>110</v>
      </c>
      <c r="D15" s="3">
        <v>232</v>
      </c>
      <c r="E15" s="3">
        <v>138</v>
      </c>
      <c r="F15" s="3">
        <v>410</v>
      </c>
    </row>
    <row r="16" spans="2:6" x14ac:dyDescent="0.25">
      <c r="B16" s="2" t="s">
        <v>639</v>
      </c>
      <c r="C16" s="3">
        <v>190</v>
      </c>
      <c r="D16" s="3">
        <v>493</v>
      </c>
      <c r="E16" s="3">
        <v>127</v>
      </c>
      <c r="F16" s="3">
        <v>360</v>
      </c>
    </row>
    <row r="17" spans="2:15" x14ac:dyDescent="0.25">
      <c r="B17" s="2" t="s">
        <v>640</v>
      </c>
      <c r="C17" s="3">
        <v>201</v>
      </c>
      <c r="D17" s="3">
        <v>461</v>
      </c>
      <c r="E17" s="3">
        <v>249</v>
      </c>
      <c r="F17" s="3">
        <v>341</v>
      </c>
    </row>
    <row r="18" spans="2:15" x14ac:dyDescent="0.25">
      <c r="B18" s="2" t="s">
        <v>641</v>
      </c>
      <c r="C18" s="3">
        <v>229</v>
      </c>
      <c r="D18" s="3">
        <v>590</v>
      </c>
      <c r="E18" s="3">
        <v>210</v>
      </c>
      <c r="F18" s="3">
        <v>486</v>
      </c>
    </row>
    <row r="19" spans="2:15" x14ac:dyDescent="0.25">
      <c r="B19" s="2" t="s">
        <v>642</v>
      </c>
      <c r="C19" s="3">
        <v>142</v>
      </c>
      <c r="D19" s="3">
        <v>668</v>
      </c>
      <c r="E19" s="3">
        <v>185</v>
      </c>
      <c r="F19" s="3">
        <v>242</v>
      </c>
    </row>
    <row r="20" spans="2:15" x14ac:dyDescent="0.25">
      <c r="B20" s="2" t="s">
        <v>643</v>
      </c>
      <c r="C20" s="3">
        <v>170</v>
      </c>
      <c r="D20" s="3">
        <v>268</v>
      </c>
      <c r="E20" s="3">
        <v>37</v>
      </c>
      <c r="F20" s="3">
        <v>132</v>
      </c>
    </row>
    <row r="21" spans="2:15" x14ac:dyDescent="0.25">
      <c r="B21" s="2" t="s">
        <v>644</v>
      </c>
      <c r="C21" s="3">
        <v>64</v>
      </c>
      <c r="D21" s="3">
        <v>124</v>
      </c>
      <c r="E21" s="3">
        <v>16</v>
      </c>
      <c r="F21" s="3">
        <v>35</v>
      </c>
    </row>
    <row r="22" spans="2:15" x14ac:dyDescent="0.25">
      <c r="B22" s="2" t="s">
        <v>645</v>
      </c>
      <c r="C22" s="3">
        <v>44</v>
      </c>
      <c r="D22" s="3">
        <v>56</v>
      </c>
      <c r="E22" s="3">
        <v>14</v>
      </c>
      <c r="F22" s="3">
        <v>70</v>
      </c>
    </row>
    <row r="23" spans="2:15" x14ac:dyDescent="0.25">
      <c r="B23" s="2" t="s">
        <v>646</v>
      </c>
      <c r="C23" s="3">
        <v>28</v>
      </c>
      <c r="D23" s="3">
        <v>48</v>
      </c>
      <c r="E23" s="3">
        <v>13</v>
      </c>
      <c r="F23" s="3">
        <v>46</v>
      </c>
    </row>
    <row r="24" spans="2:15" x14ac:dyDescent="0.25">
      <c r="B24" s="2" t="s">
        <v>647</v>
      </c>
      <c r="C24" s="3">
        <v>30</v>
      </c>
      <c r="D24" s="3">
        <v>67</v>
      </c>
      <c r="E24" s="3">
        <v>28</v>
      </c>
      <c r="F24" s="3">
        <v>46</v>
      </c>
    </row>
    <row r="25" spans="2:15" x14ac:dyDescent="0.25">
      <c r="B25" s="2" t="s">
        <v>648</v>
      </c>
      <c r="C25" s="3">
        <v>35</v>
      </c>
      <c r="D25" s="3">
        <v>89</v>
      </c>
      <c r="E25" s="3">
        <v>19</v>
      </c>
      <c r="F25" s="3">
        <v>74</v>
      </c>
    </row>
    <row r="26" spans="2:15" x14ac:dyDescent="0.25">
      <c r="B26" s="2" t="s">
        <v>649</v>
      </c>
      <c r="C26" s="3">
        <v>41</v>
      </c>
      <c r="D26" s="3">
        <v>77</v>
      </c>
      <c r="E26" s="3">
        <v>37</v>
      </c>
      <c r="F26" s="3">
        <v>53</v>
      </c>
    </row>
    <row r="27" spans="2:15" x14ac:dyDescent="0.25">
      <c r="B27" s="2" t="s">
        <v>650</v>
      </c>
      <c r="C27" s="3">
        <v>50</v>
      </c>
      <c r="D27" s="3">
        <v>74</v>
      </c>
      <c r="E27" s="3">
        <v>18</v>
      </c>
      <c r="F27" s="3">
        <v>94</v>
      </c>
    </row>
    <row r="28" spans="2:15" x14ac:dyDescent="0.25">
      <c r="B28" s="2" t="s">
        <v>651</v>
      </c>
      <c r="C28" s="3">
        <v>47</v>
      </c>
      <c r="D28" s="3">
        <v>127</v>
      </c>
      <c r="E28" s="3">
        <v>38</v>
      </c>
      <c r="F28" s="3">
        <v>64</v>
      </c>
      <c r="L28" t="s">
        <v>652</v>
      </c>
    </row>
    <row r="29" spans="2:15" x14ac:dyDescent="0.25">
      <c r="B29" s="2" t="s">
        <v>653</v>
      </c>
      <c r="C29" s="3">
        <v>65</v>
      </c>
      <c r="D29" s="3">
        <v>92</v>
      </c>
      <c r="E29" s="3">
        <v>48</v>
      </c>
      <c r="F29" s="3">
        <v>193</v>
      </c>
      <c r="K29" s="4" t="s">
        <v>0</v>
      </c>
    </row>
    <row r="30" spans="2:15" x14ac:dyDescent="0.25">
      <c r="B30" s="2" t="s">
        <v>654</v>
      </c>
      <c r="C30" s="3">
        <v>104</v>
      </c>
      <c r="D30" s="3">
        <v>272</v>
      </c>
      <c r="E30" s="3">
        <v>57</v>
      </c>
      <c r="F30" s="3">
        <v>239</v>
      </c>
      <c r="K30" s="33">
        <v>45958</v>
      </c>
      <c r="L30" s="4" t="s">
        <v>2</v>
      </c>
      <c r="M30" s="4">
        <v>3</v>
      </c>
      <c r="N30" s="34">
        <v>60</v>
      </c>
      <c r="O30" s="34">
        <f>M30*N30</f>
        <v>180</v>
      </c>
    </row>
    <row r="31" spans="2:15" x14ac:dyDescent="0.25">
      <c r="B31" s="2" t="s">
        <v>655</v>
      </c>
      <c r="C31" s="3">
        <v>147</v>
      </c>
      <c r="D31" s="3">
        <v>386</v>
      </c>
      <c r="E31" s="3">
        <v>157</v>
      </c>
      <c r="F31" s="3">
        <v>280</v>
      </c>
      <c r="K31" s="33">
        <v>45960</v>
      </c>
      <c r="L31" s="4" t="s">
        <v>2</v>
      </c>
      <c r="M31" s="4">
        <v>2</v>
      </c>
      <c r="N31" s="34">
        <v>60</v>
      </c>
      <c r="O31" s="34">
        <f t="shared" ref="O31:O34" si="0">M31*N31</f>
        <v>120</v>
      </c>
    </row>
    <row r="32" spans="2:15" x14ac:dyDescent="0.25">
      <c r="B32" s="2" t="s">
        <v>656</v>
      </c>
      <c r="C32" s="3">
        <v>210</v>
      </c>
      <c r="D32" s="3">
        <v>588</v>
      </c>
      <c r="E32" s="3">
        <v>161</v>
      </c>
      <c r="F32" s="3">
        <v>456</v>
      </c>
      <c r="K32" s="33">
        <v>45961</v>
      </c>
      <c r="L32" s="4" t="s">
        <v>2</v>
      </c>
      <c r="M32" s="4">
        <v>5</v>
      </c>
      <c r="N32" s="34">
        <v>60</v>
      </c>
      <c r="O32" s="34">
        <f t="shared" si="0"/>
        <v>300</v>
      </c>
    </row>
    <row r="33" spans="2:15" x14ac:dyDescent="0.25">
      <c r="B33" s="2" t="s">
        <v>657</v>
      </c>
      <c r="C33" s="3">
        <v>175</v>
      </c>
      <c r="D33" s="3">
        <v>403</v>
      </c>
      <c r="E33" s="3">
        <v>162</v>
      </c>
      <c r="F33" s="3">
        <v>237</v>
      </c>
      <c r="K33" s="33">
        <v>45961</v>
      </c>
      <c r="L33" s="4" t="s">
        <v>4</v>
      </c>
      <c r="M33" s="4">
        <v>6</v>
      </c>
      <c r="N33" s="34">
        <v>70</v>
      </c>
      <c r="O33" s="34">
        <f t="shared" si="0"/>
        <v>420</v>
      </c>
    </row>
    <row r="34" spans="2:15" x14ac:dyDescent="0.25">
      <c r="B34" s="2" t="s">
        <v>658</v>
      </c>
      <c r="C34" s="3">
        <v>150</v>
      </c>
      <c r="D34" s="3">
        <v>279</v>
      </c>
      <c r="E34" s="3">
        <v>62</v>
      </c>
      <c r="F34" s="3">
        <v>275</v>
      </c>
      <c r="M34" s="4"/>
      <c r="N34" s="34"/>
      <c r="O34" s="34">
        <f t="shared" si="0"/>
        <v>0</v>
      </c>
    </row>
    <row r="35" spans="2:15" x14ac:dyDescent="0.25">
      <c r="B35" s="1" t="s">
        <v>36</v>
      </c>
      <c r="C35" s="1">
        <f>SUM(C4:C34)</f>
        <v>4061</v>
      </c>
      <c r="D35" s="1">
        <f>SUM(D4:D34)</f>
        <v>9859</v>
      </c>
      <c r="E35" s="1">
        <f>SUM(E4:E34)</f>
        <v>3184</v>
      </c>
      <c r="F35" s="1">
        <f>SUM(F4:F34)</f>
        <v>7435</v>
      </c>
    </row>
  </sheetData>
  <mergeCells count="1">
    <mergeCell ref="B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71A8-8CE9-4BEF-9420-0E49A88D043E}">
  <dimension ref="A1:E34"/>
  <sheetViews>
    <sheetView workbookViewId="0">
      <selection activeCell="L15" sqref="L15"/>
    </sheetView>
  </sheetViews>
  <sheetFormatPr defaultRowHeight="15" x14ac:dyDescent="0.25"/>
  <sheetData>
    <row r="1" spans="1:5" x14ac:dyDescent="0.25">
      <c r="A1" s="21">
        <v>45962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659</v>
      </c>
      <c r="B3" s="3">
        <v>101</v>
      </c>
      <c r="C3" s="3">
        <v>328</v>
      </c>
      <c r="D3" s="3">
        <v>46</v>
      </c>
      <c r="E3" s="3">
        <v>76</v>
      </c>
    </row>
    <row r="4" spans="1:5" x14ac:dyDescent="0.25">
      <c r="A4" s="2" t="s">
        <v>660</v>
      </c>
      <c r="B4" s="3">
        <v>104</v>
      </c>
      <c r="C4" s="3">
        <v>210</v>
      </c>
      <c r="D4" s="3">
        <v>82</v>
      </c>
      <c r="E4" s="3">
        <v>336</v>
      </c>
    </row>
    <row r="5" spans="1:5" x14ac:dyDescent="0.25">
      <c r="A5" s="2" t="s">
        <v>661</v>
      </c>
      <c r="B5" s="3">
        <v>164</v>
      </c>
      <c r="C5" s="3">
        <v>460</v>
      </c>
      <c r="D5" s="3">
        <v>95</v>
      </c>
      <c r="E5" s="3">
        <v>305</v>
      </c>
    </row>
    <row r="6" spans="1:5" x14ac:dyDescent="0.25">
      <c r="A6" s="2" t="s">
        <v>662</v>
      </c>
      <c r="B6" s="3">
        <v>184</v>
      </c>
      <c r="C6" s="3">
        <v>474</v>
      </c>
      <c r="D6" s="3">
        <v>141</v>
      </c>
      <c r="E6" s="3">
        <v>268</v>
      </c>
    </row>
    <row r="7" spans="1:5" x14ac:dyDescent="0.25">
      <c r="A7" s="2" t="s">
        <v>663</v>
      </c>
      <c r="B7" s="3">
        <v>148</v>
      </c>
      <c r="C7" s="3">
        <v>467</v>
      </c>
      <c r="D7" s="3">
        <v>140</v>
      </c>
      <c r="E7" s="3">
        <v>395</v>
      </c>
    </row>
    <row r="8" spans="1:5" x14ac:dyDescent="0.25">
      <c r="A8" s="2" t="s">
        <v>664</v>
      </c>
      <c r="B8" s="3">
        <v>152</v>
      </c>
      <c r="C8" s="3">
        <v>404</v>
      </c>
      <c r="D8" s="3">
        <v>173</v>
      </c>
      <c r="E8" s="3">
        <v>83</v>
      </c>
    </row>
    <row r="9" spans="1:5" x14ac:dyDescent="0.25">
      <c r="A9" s="2" t="s">
        <v>665</v>
      </c>
      <c r="B9" s="3">
        <v>190</v>
      </c>
      <c r="C9" s="3">
        <v>395</v>
      </c>
      <c r="D9" s="3">
        <v>162</v>
      </c>
      <c r="E9" s="3">
        <v>305</v>
      </c>
    </row>
    <row r="10" spans="1:5" x14ac:dyDescent="0.25">
      <c r="A10" s="2" t="s">
        <v>666</v>
      </c>
      <c r="B10" s="3">
        <v>95</v>
      </c>
      <c r="C10" s="3">
        <v>371</v>
      </c>
      <c r="D10" s="3">
        <v>32</v>
      </c>
      <c r="E10" s="3">
        <v>84</v>
      </c>
    </row>
    <row r="11" spans="1:5" x14ac:dyDescent="0.25">
      <c r="A11" s="2" t="s">
        <v>667</v>
      </c>
      <c r="B11" s="3">
        <v>98</v>
      </c>
      <c r="C11" s="3">
        <v>190</v>
      </c>
      <c r="D11" s="3">
        <v>74</v>
      </c>
      <c r="E11" s="3">
        <v>346</v>
      </c>
    </row>
    <row r="12" spans="1:5" x14ac:dyDescent="0.25">
      <c r="A12" s="2" t="s">
        <v>668</v>
      </c>
      <c r="B12" s="3">
        <v>155</v>
      </c>
      <c r="C12" s="3">
        <v>467</v>
      </c>
      <c r="D12" s="3">
        <v>80</v>
      </c>
      <c r="E12" s="3">
        <v>367</v>
      </c>
    </row>
    <row r="13" spans="1:5" x14ac:dyDescent="0.25">
      <c r="A13" s="2" t="s">
        <v>669</v>
      </c>
      <c r="B13" s="3">
        <v>194</v>
      </c>
      <c r="C13" s="3">
        <v>455</v>
      </c>
      <c r="D13" s="3">
        <v>186</v>
      </c>
      <c r="E13" s="3">
        <v>339</v>
      </c>
    </row>
    <row r="14" spans="1:5" x14ac:dyDescent="0.25">
      <c r="A14" s="2" t="s">
        <v>670</v>
      </c>
      <c r="B14" s="3">
        <v>198</v>
      </c>
      <c r="C14" s="3">
        <v>522</v>
      </c>
      <c r="D14" s="3">
        <v>181</v>
      </c>
      <c r="E14" s="3">
        <v>525</v>
      </c>
    </row>
    <row r="15" spans="1:5" x14ac:dyDescent="0.25">
      <c r="A15" s="2" t="s">
        <v>671</v>
      </c>
      <c r="B15" s="3">
        <v>140</v>
      </c>
      <c r="C15" s="3">
        <v>408</v>
      </c>
      <c r="D15" s="3">
        <v>186</v>
      </c>
      <c r="E15" s="3">
        <v>455</v>
      </c>
    </row>
    <row r="16" spans="1:5" x14ac:dyDescent="0.25">
      <c r="A16" s="2" t="s">
        <v>672</v>
      </c>
      <c r="B16" s="3">
        <v>176</v>
      </c>
      <c r="C16" s="3">
        <v>354</v>
      </c>
      <c r="D16" s="3">
        <v>152</v>
      </c>
      <c r="E16" s="3">
        <v>355</v>
      </c>
    </row>
    <row r="17" spans="1:5" x14ac:dyDescent="0.25">
      <c r="A17" s="2" t="s">
        <v>673</v>
      </c>
      <c r="B17" s="3">
        <v>155</v>
      </c>
      <c r="C17" s="3">
        <v>430</v>
      </c>
      <c r="D17" s="3">
        <v>50</v>
      </c>
      <c r="E17" s="3">
        <v>116</v>
      </c>
    </row>
    <row r="18" spans="1:5" x14ac:dyDescent="0.25">
      <c r="A18" s="2" t="s">
        <v>674</v>
      </c>
      <c r="B18" s="3">
        <v>125</v>
      </c>
      <c r="C18" s="3">
        <v>224</v>
      </c>
      <c r="D18" s="3">
        <v>98</v>
      </c>
      <c r="E18" s="3">
        <v>355</v>
      </c>
    </row>
    <row r="19" spans="1:5" x14ac:dyDescent="0.25">
      <c r="A19" s="2" t="s">
        <v>675</v>
      </c>
      <c r="B19" s="3">
        <v>156</v>
      </c>
      <c r="C19" s="3">
        <v>431</v>
      </c>
      <c r="D19" s="3">
        <v>98</v>
      </c>
      <c r="E19" s="3">
        <v>320</v>
      </c>
    </row>
    <row r="20" spans="1:5" x14ac:dyDescent="0.25">
      <c r="A20" s="2" t="s">
        <v>676</v>
      </c>
      <c r="B20" s="3">
        <v>175</v>
      </c>
      <c r="C20" s="3">
        <v>408</v>
      </c>
      <c r="D20" s="3">
        <v>166</v>
      </c>
      <c r="E20" s="3">
        <v>266</v>
      </c>
    </row>
    <row r="21" spans="1:5" x14ac:dyDescent="0.25">
      <c r="A21" s="2" t="s">
        <v>677</v>
      </c>
      <c r="B21" s="3">
        <v>172</v>
      </c>
      <c r="C21" s="3">
        <v>497</v>
      </c>
      <c r="D21" s="3">
        <v>198</v>
      </c>
      <c r="E21" s="3">
        <v>460</v>
      </c>
    </row>
    <row r="22" spans="1:5" x14ac:dyDescent="0.25">
      <c r="A22" s="2" t="s">
        <v>678</v>
      </c>
      <c r="B22" s="3">
        <v>148</v>
      </c>
      <c r="C22" s="3">
        <v>402</v>
      </c>
      <c r="D22" s="3">
        <v>215</v>
      </c>
      <c r="E22" s="3">
        <v>261</v>
      </c>
    </row>
    <row r="23" spans="1:5" x14ac:dyDescent="0.25">
      <c r="A23" s="2" t="s">
        <v>679</v>
      </c>
      <c r="B23" s="3">
        <v>185</v>
      </c>
      <c r="C23" s="3">
        <v>321</v>
      </c>
      <c r="D23" s="3">
        <v>140</v>
      </c>
      <c r="E23" s="3">
        <v>283</v>
      </c>
    </row>
    <row r="24" spans="1:5" x14ac:dyDescent="0.25">
      <c r="A24" s="2" t="s">
        <v>680</v>
      </c>
      <c r="B24" s="3">
        <v>101</v>
      </c>
      <c r="C24" s="3">
        <v>394</v>
      </c>
      <c r="D24" s="3">
        <v>58</v>
      </c>
      <c r="E24" s="3">
        <v>100</v>
      </c>
    </row>
    <row r="25" spans="1:5" x14ac:dyDescent="0.25">
      <c r="A25" s="2" t="s">
        <v>681</v>
      </c>
      <c r="B25" s="3">
        <v>98</v>
      </c>
      <c r="C25" s="3">
        <v>195</v>
      </c>
      <c r="D25" s="3">
        <v>98</v>
      </c>
      <c r="E25" s="3">
        <v>327</v>
      </c>
    </row>
    <row r="26" spans="1:5" x14ac:dyDescent="0.25">
      <c r="A26" s="2" t="s">
        <v>682</v>
      </c>
      <c r="B26" s="3">
        <v>149</v>
      </c>
      <c r="C26" s="3">
        <v>399</v>
      </c>
      <c r="D26" s="3">
        <v>78</v>
      </c>
      <c r="E26" s="3">
        <v>276</v>
      </c>
    </row>
    <row r="27" spans="1:5" x14ac:dyDescent="0.25">
      <c r="A27" s="2" t="s">
        <v>683</v>
      </c>
      <c r="B27" s="3">
        <v>164</v>
      </c>
      <c r="C27" s="3">
        <v>299</v>
      </c>
      <c r="D27" s="3">
        <v>145</v>
      </c>
      <c r="E27" s="3">
        <v>246</v>
      </c>
    </row>
    <row r="28" spans="1:5" x14ac:dyDescent="0.25">
      <c r="A28" s="2" t="s">
        <v>684</v>
      </c>
      <c r="B28" s="3">
        <v>172</v>
      </c>
      <c r="C28" s="3">
        <v>438</v>
      </c>
      <c r="D28" s="3">
        <v>175</v>
      </c>
      <c r="E28" s="3">
        <v>465</v>
      </c>
    </row>
    <row r="29" spans="1:5" x14ac:dyDescent="0.25">
      <c r="A29" s="2" t="s">
        <v>685</v>
      </c>
      <c r="B29" s="3">
        <v>124</v>
      </c>
      <c r="C29" s="3">
        <v>332</v>
      </c>
      <c r="D29" s="3">
        <v>198</v>
      </c>
      <c r="E29" s="3">
        <v>262</v>
      </c>
    </row>
    <row r="30" spans="1:5" x14ac:dyDescent="0.25">
      <c r="A30" s="2" t="s">
        <v>686</v>
      </c>
      <c r="B30" s="3">
        <v>170</v>
      </c>
      <c r="C30" s="3">
        <v>310</v>
      </c>
      <c r="D30" s="3">
        <v>158</v>
      </c>
      <c r="E30" s="3">
        <v>348</v>
      </c>
    </row>
    <row r="31" spans="1:5" x14ac:dyDescent="0.25">
      <c r="A31" s="2" t="s">
        <v>687</v>
      </c>
      <c r="B31" s="3">
        <v>168</v>
      </c>
      <c r="C31" s="3">
        <v>424</v>
      </c>
      <c r="D31" s="3">
        <v>70</v>
      </c>
      <c r="E31" s="3">
        <v>95</v>
      </c>
    </row>
    <row r="32" spans="1:5" x14ac:dyDescent="0.25">
      <c r="A32" s="2" t="s">
        <v>688</v>
      </c>
      <c r="B32" s="3">
        <v>124</v>
      </c>
      <c r="C32" s="3">
        <v>230</v>
      </c>
      <c r="D32" s="3">
        <v>154</v>
      </c>
      <c r="E32" s="3">
        <v>425</v>
      </c>
    </row>
    <row r="33" spans="1:5" x14ac:dyDescent="0.25">
      <c r="A33" s="2"/>
      <c r="B33" s="3"/>
      <c r="C33" s="3"/>
      <c r="D33" s="3"/>
      <c r="E33" s="3"/>
    </row>
    <row r="34" spans="1:5" x14ac:dyDescent="0.25">
      <c r="A34" s="1" t="s">
        <v>36</v>
      </c>
      <c r="B34" s="1">
        <f>SUM(B3:B33)</f>
        <v>4485</v>
      </c>
      <c r="C34" s="1">
        <f>SUM(C3:C33)</f>
        <v>11239</v>
      </c>
      <c r="D34" s="1">
        <f>SUM(D3:D33)</f>
        <v>3829</v>
      </c>
      <c r="E34" s="1">
        <f>SUM(E3:E33)</f>
        <v>8844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403D-A829-498C-B10C-8987DD9C0691}">
  <dimension ref="A1:E34"/>
  <sheetViews>
    <sheetView workbookViewId="0">
      <selection activeCell="C7" sqref="C7"/>
    </sheetView>
  </sheetViews>
  <sheetFormatPr defaultRowHeight="15" x14ac:dyDescent="0.25"/>
  <sheetData>
    <row r="1" spans="1:5" x14ac:dyDescent="0.25">
      <c r="A1" s="21">
        <v>45992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689</v>
      </c>
      <c r="B3" s="3">
        <v>109</v>
      </c>
      <c r="C3" s="3">
        <v>263</v>
      </c>
      <c r="D3" s="3">
        <v>22</v>
      </c>
      <c r="E3" s="3">
        <v>168</v>
      </c>
    </row>
    <row r="4" spans="1:5" x14ac:dyDescent="0.25">
      <c r="A4" s="2" t="s">
        <v>690</v>
      </c>
      <c r="B4" s="3">
        <v>103</v>
      </c>
      <c r="C4" s="3">
        <v>224</v>
      </c>
      <c r="D4" s="3">
        <v>38</v>
      </c>
      <c r="E4" s="3">
        <v>146</v>
      </c>
    </row>
    <row r="5" spans="1:5" x14ac:dyDescent="0.25">
      <c r="A5" s="2" t="s">
        <v>691</v>
      </c>
      <c r="B5" s="3">
        <v>118</v>
      </c>
      <c r="C5" s="3">
        <v>318</v>
      </c>
      <c r="D5" s="3">
        <v>46</v>
      </c>
      <c r="E5" s="3">
        <v>257</v>
      </c>
    </row>
    <row r="6" spans="1:5" x14ac:dyDescent="0.25">
      <c r="A6" s="2" t="s">
        <v>692</v>
      </c>
      <c r="B6" s="3">
        <v>82</v>
      </c>
      <c r="C6" s="3">
        <v>199</v>
      </c>
      <c r="D6" s="3">
        <v>43</v>
      </c>
      <c r="E6" s="3">
        <v>161</v>
      </c>
    </row>
    <row r="7" spans="1:5" x14ac:dyDescent="0.25">
      <c r="A7" s="2" t="s">
        <v>693</v>
      </c>
      <c r="B7" s="3">
        <v>116</v>
      </c>
      <c r="C7" s="3">
        <v>442</v>
      </c>
      <c r="D7" s="3">
        <v>37</v>
      </c>
      <c r="E7" s="3">
        <v>176</v>
      </c>
    </row>
    <row r="8" spans="1:5" x14ac:dyDescent="0.25">
      <c r="A8" s="2" t="s">
        <v>694</v>
      </c>
      <c r="B8" s="3">
        <v>86</v>
      </c>
      <c r="C8" s="3">
        <v>340</v>
      </c>
      <c r="D8" s="3">
        <v>13</v>
      </c>
      <c r="E8" s="3">
        <v>72</v>
      </c>
    </row>
    <row r="9" spans="1:5" x14ac:dyDescent="0.25">
      <c r="A9" s="2" t="s">
        <v>695</v>
      </c>
      <c r="B9" s="3">
        <v>98</v>
      </c>
      <c r="C9" s="3">
        <v>135</v>
      </c>
      <c r="D9" s="3">
        <v>35</v>
      </c>
      <c r="E9" s="3">
        <v>268</v>
      </c>
    </row>
    <row r="10" spans="1:5" x14ac:dyDescent="0.25">
      <c r="A10" s="2" t="s">
        <v>696</v>
      </c>
      <c r="B10" s="3">
        <v>105</v>
      </c>
      <c r="C10" s="3">
        <v>287</v>
      </c>
      <c r="D10" s="3">
        <v>25</v>
      </c>
      <c r="E10" s="3">
        <v>125</v>
      </c>
    </row>
    <row r="11" spans="1:5" x14ac:dyDescent="0.25">
      <c r="A11" s="2" t="s">
        <v>697</v>
      </c>
      <c r="B11" s="3">
        <v>91</v>
      </c>
      <c r="C11" s="3">
        <v>221</v>
      </c>
      <c r="D11" s="3">
        <v>28</v>
      </c>
      <c r="E11" s="3">
        <v>86</v>
      </c>
    </row>
    <row r="12" spans="1:5" x14ac:dyDescent="0.25">
      <c r="A12" s="2" t="s">
        <v>698</v>
      </c>
      <c r="B12" s="3">
        <v>81</v>
      </c>
      <c r="C12" s="3">
        <v>375</v>
      </c>
      <c r="D12" s="3">
        <v>38</v>
      </c>
      <c r="E12" s="3">
        <v>153</v>
      </c>
    </row>
    <row r="13" spans="1:5" x14ac:dyDescent="0.25">
      <c r="A13" s="2" t="s">
        <v>699</v>
      </c>
      <c r="B13" s="3">
        <v>61</v>
      </c>
      <c r="C13" s="3">
        <v>215</v>
      </c>
      <c r="D13" s="3">
        <v>47</v>
      </c>
      <c r="E13" s="3">
        <v>108</v>
      </c>
    </row>
    <row r="14" spans="1:5" x14ac:dyDescent="0.25">
      <c r="A14" s="2" t="s">
        <v>700</v>
      </c>
      <c r="B14" s="3">
        <v>96</v>
      </c>
      <c r="C14" s="3">
        <v>204</v>
      </c>
      <c r="D14" s="3">
        <v>28</v>
      </c>
      <c r="E14" s="3">
        <v>115</v>
      </c>
    </row>
    <row r="15" spans="1:5" x14ac:dyDescent="0.25">
      <c r="A15" s="2" t="s">
        <v>701</v>
      </c>
      <c r="B15" s="3">
        <v>48</v>
      </c>
      <c r="C15" s="3">
        <v>172</v>
      </c>
      <c r="D15" s="3">
        <v>10</v>
      </c>
      <c r="E15" s="3">
        <v>40</v>
      </c>
    </row>
    <row r="16" spans="1:5" x14ac:dyDescent="0.25">
      <c r="A16" s="2" t="s">
        <v>702</v>
      </c>
      <c r="B16" s="3">
        <v>40</v>
      </c>
      <c r="C16" s="3">
        <v>89</v>
      </c>
      <c r="D16" s="3">
        <v>19</v>
      </c>
      <c r="E16" s="3">
        <v>135</v>
      </c>
    </row>
    <row r="17" spans="1:5" x14ac:dyDescent="0.25">
      <c r="A17" s="2" t="s">
        <v>703</v>
      </c>
      <c r="B17" s="3">
        <v>56</v>
      </c>
      <c r="C17" s="3">
        <v>192</v>
      </c>
      <c r="D17" s="3">
        <v>16</v>
      </c>
      <c r="E17" s="3">
        <v>72</v>
      </c>
    </row>
    <row r="18" spans="1:5" x14ac:dyDescent="0.25">
      <c r="A18" s="2" t="s">
        <v>704</v>
      </c>
      <c r="B18" s="3">
        <v>49</v>
      </c>
      <c r="C18" s="3">
        <v>117</v>
      </c>
      <c r="D18" s="3">
        <v>15</v>
      </c>
      <c r="E18" s="3">
        <v>41</v>
      </c>
    </row>
    <row r="19" spans="1:5" x14ac:dyDescent="0.25">
      <c r="A19" s="2" t="s">
        <v>705</v>
      </c>
      <c r="B19" s="3">
        <v>45</v>
      </c>
      <c r="C19" s="3">
        <v>142</v>
      </c>
      <c r="D19" s="3">
        <v>14</v>
      </c>
      <c r="E19" s="3">
        <v>111</v>
      </c>
    </row>
    <row r="20" spans="1:5" x14ac:dyDescent="0.25">
      <c r="A20" s="2" t="s">
        <v>706</v>
      </c>
      <c r="B20" s="3">
        <v>30</v>
      </c>
      <c r="C20" s="3">
        <v>78</v>
      </c>
      <c r="D20" s="3">
        <v>18</v>
      </c>
      <c r="E20" s="3">
        <v>36</v>
      </c>
    </row>
    <row r="21" spans="1:5" x14ac:dyDescent="0.25">
      <c r="A21" s="2" t="s">
        <v>707</v>
      </c>
      <c r="B21" s="3">
        <v>42</v>
      </c>
      <c r="C21" s="3">
        <v>92</v>
      </c>
      <c r="D21" s="3">
        <v>14</v>
      </c>
      <c r="E21" s="3">
        <v>47</v>
      </c>
    </row>
    <row r="22" spans="1:5" x14ac:dyDescent="0.25">
      <c r="A22" s="2" t="s">
        <v>708</v>
      </c>
      <c r="B22" s="3">
        <v>18</v>
      </c>
      <c r="C22" s="3">
        <v>106</v>
      </c>
      <c r="D22" s="3">
        <v>7</v>
      </c>
      <c r="E22" s="3">
        <v>20</v>
      </c>
    </row>
    <row r="23" spans="1:5" x14ac:dyDescent="0.25">
      <c r="A23" s="2" t="s">
        <v>709</v>
      </c>
      <c r="B23" s="3">
        <v>30</v>
      </c>
      <c r="C23" s="3">
        <v>52</v>
      </c>
      <c r="D23" s="3">
        <v>15</v>
      </c>
      <c r="E23" s="3">
        <v>79</v>
      </c>
    </row>
    <row r="24" spans="1:5" x14ac:dyDescent="0.25">
      <c r="A24" s="2" t="s">
        <v>710</v>
      </c>
      <c r="B24" s="3">
        <v>29</v>
      </c>
      <c r="C24" s="3">
        <v>111</v>
      </c>
      <c r="D24" s="3">
        <v>8</v>
      </c>
      <c r="E24" s="3">
        <v>57</v>
      </c>
    </row>
    <row r="25" spans="1:5" x14ac:dyDescent="0.25">
      <c r="A25" s="2" t="s">
        <v>711</v>
      </c>
      <c r="B25" s="3">
        <v>32</v>
      </c>
      <c r="C25" s="3">
        <v>114</v>
      </c>
      <c r="D25" s="3">
        <f>13+7</f>
        <v>20</v>
      </c>
      <c r="E25" s="3">
        <v>43</v>
      </c>
    </row>
    <row r="26" spans="1:5" x14ac:dyDescent="0.25">
      <c r="A26" s="2" t="s">
        <v>712</v>
      </c>
      <c r="B26" s="3">
        <v>23</v>
      </c>
      <c r="C26" s="3">
        <v>112</v>
      </c>
      <c r="D26" s="3">
        <v>18</v>
      </c>
      <c r="E26" s="3">
        <v>65</v>
      </c>
    </row>
    <row r="27" spans="1:5" x14ac:dyDescent="0.25">
      <c r="A27" s="2" t="s">
        <v>713</v>
      </c>
      <c r="B27" s="3">
        <v>16</v>
      </c>
      <c r="C27" s="3">
        <v>59</v>
      </c>
      <c r="D27" s="3">
        <v>10</v>
      </c>
      <c r="E27" s="3">
        <v>35</v>
      </c>
    </row>
    <row r="28" spans="1:5" x14ac:dyDescent="0.25">
      <c r="A28" s="2" t="s">
        <v>714</v>
      </c>
      <c r="B28" s="3">
        <v>20</v>
      </c>
      <c r="C28" s="3">
        <v>75</v>
      </c>
      <c r="D28" s="3">
        <v>11</v>
      </c>
      <c r="E28" s="3">
        <v>45</v>
      </c>
    </row>
    <row r="29" spans="1:5" x14ac:dyDescent="0.25">
      <c r="A29" s="2" t="s">
        <v>715</v>
      </c>
      <c r="B29" s="3">
        <v>24</v>
      </c>
      <c r="C29" s="3">
        <v>80</v>
      </c>
      <c r="D29" s="3">
        <v>4</v>
      </c>
      <c r="E29" s="3">
        <v>18</v>
      </c>
    </row>
    <row r="30" spans="1:5" x14ac:dyDescent="0.25">
      <c r="A30" s="2" t="s">
        <v>716</v>
      </c>
      <c r="B30" s="3">
        <v>20</v>
      </c>
      <c r="C30" s="3">
        <v>40</v>
      </c>
      <c r="D30" s="3">
        <v>11</v>
      </c>
      <c r="E30" s="3">
        <v>48</v>
      </c>
    </row>
    <row r="31" spans="1:5" x14ac:dyDescent="0.25">
      <c r="A31" s="2" t="s">
        <v>717</v>
      </c>
      <c r="B31" s="3">
        <v>26</v>
      </c>
      <c r="C31" s="3">
        <v>82</v>
      </c>
      <c r="D31" s="3">
        <v>7</v>
      </c>
      <c r="E31" s="3">
        <v>38</v>
      </c>
    </row>
    <row r="32" spans="1:5" x14ac:dyDescent="0.25">
      <c r="A32" s="2" t="s">
        <v>718</v>
      </c>
      <c r="B32" s="3">
        <v>20</v>
      </c>
      <c r="C32" s="3">
        <v>116</v>
      </c>
      <c r="D32" s="3">
        <v>14</v>
      </c>
      <c r="E32" s="3">
        <v>42</v>
      </c>
    </row>
    <row r="33" spans="1:5" x14ac:dyDescent="0.25">
      <c r="A33" s="2" t="s">
        <v>719</v>
      </c>
      <c r="B33" s="3">
        <v>21</v>
      </c>
      <c r="C33" s="3">
        <v>97</v>
      </c>
      <c r="D33" s="3">
        <v>16</v>
      </c>
      <c r="E33" s="3">
        <v>44</v>
      </c>
    </row>
    <row r="34" spans="1:5" x14ac:dyDescent="0.25">
      <c r="A34" s="1" t="s">
        <v>36</v>
      </c>
      <c r="B34" s="1">
        <f>SUM(B3:B33)</f>
        <v>1735</v>
      </c>
      <c r="C34" s="1">
        <f>SUM(C3:C33)</f>
        <v>5149</v>
      </c>
      <c r="D34" s="1">
        <f>SUM(D3:D33)</f>
        <v>647</v>
      </c>
      <c r="E34" s="1">
        <f>SUM(E3:E33)</f>
        <v>2851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D7A7-819E-48AD-AC03-D417551E52E9}">
  <dimension ref="A1:E34"/>
  <sheetViews>
    <sheetView workbookViewId="0">
      <selection activeCell="J14" sqref="J14"/>
    </sheetView>
  </sheetViews>
  <sheetFormatPr defaultRowHeight="15" x14ac:dyDescent="0.25"/>
  <sheetData>
    <row r="1" spans="1:5" x14ac:dyDescent="0.25">
      <c r="A1" s="21">
        <v>46023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720</v>
      </c>
      <c r="B3" s="3">
        <v>17</v>
      </c>
      <c r="C3" s="3">
        <v>74</v>
      </c>
      <c r="D3" s="3">
        <v>10</v>
      </c>
      <c r="E3" s="3">
        <v>49</v>
      </c>
    </row>
    <row r="4" spans="1:5" x14ac:dyDescent="0.25">
      <c r="A4" s="2" t="s">
        <v>721</v>
      </c>
      <c r="B4" s="3">
        <v>27</v>
      </c>
      <c r="C4" s="3">
        <v>106</v>
      </c>
      <c r="D4" s="3">
        <v>29</v>
      </c>
      <c r="E4" s="3">
        <v>65</v>
      </c>
    </row>
    <row r="5" spans="1:5" x14ac:dyDescent="0.25">
      <c r="A5" s="2" t="s">
        <v>722</v>
      </c>
      <c r="B5" s="3">
        <v>24</v>
      </c>
      <c r="C5" s="3">
        <v>135</v>
      </c>
      <c r="D5" s="3">
        <v>8</v>
      </c>
      <c r="E5" s="3">
        <v>42</v>
      </c>
    </row>
    <row r="6" spans="1:5" x14ac:dyDescent="0.25">
      <c r="A6" s="2" t="s">
        <v>723</v>
      </c>
      <c r="B6" s="3">
        <v>30</v>
      </c>
      <c r="C6" s="3">
        <v>95</v>
      </c>
      <c r="D6" s="3">
        <v>25</v>
      </c>
      <c r="E6" s="3">
        <v>222</v>
      </c>
    </row>
    <row r="7" spans="1:5" x14ac:dyDescent="0.25">
      <c r="A7" s="2" t="s">
        <v>724</v>
      </c>
      <c r="B7" s="3">
        <v>128</v>
      </c>
      <c r="C7" s="3">
        <v>494</v>
      </c>
      <c r="D7" s="3">
        <v>76</v>
      </c>
      <c r="E7" s="3">
        <v>345</v>
      </c>
    </row>
    <row r="8" spans="1:5" x14ac:dyDescent="0.25">
      <c r="A8" s="2" t="s">
        <v>725</v>
      </c>
      <c r="B8" s="3">
        <v>126</v>
      </c>
      <c r="C8" s="3">
        <v>493</v>
      </c>
      <c r="D8" s="3">
        <v>141</v>
      </c>
      <c r="E8" s="3">
        <v>322</v>
      </c>
    </row>
    <row r="9" spans="1:5" x14ac:dyDescent="0.25">
      <c r="A9" s="2" t="s">
        <v>726</v>
      </c>
      <c r="B9" s="3">
        <v>153</v>
      </c>
      <c r="C9" s="3">
        <v>583</v>
      </c>
      <c r="D9" s="3">
        <v>132</v>
      </c>
      <c r="E9" s="3">
        <v>490</v>
      </c>
    </row>
    <row r="10" spans="1:5" x14ac:dyDescent="0.25">
      <c r="A10" s="2" t="s">
        <v>727</v>
      </c>
      <c r="B10" s="3">
        <v>114</v>
      </c>
      <c r="C10" s="3">
        <v>473</v>
      </c>
      <c r="D10" s="3">
        <v>234</v>
      </c>
      <c r="E10" s="3">
        <v>345</v>
      </c>
    </row>
    <row r="11" spans="1:5" x14ac:dyDescent="0.25">
      <c r="A11" s="2" t="s">
        <v>728</v>
      </c>
      <c r="B11" s="3">
        <v>153</v>
      </c>
      <c r="C11" s="3">
        <v>373</v>
      </c>
      <c r="D11" s="3">
        <v>175</v>
      </c>
      <c r="E11" s="3">
        <v>315</v>
      </c>
    </row>
    <row r="12" spans="1:5" x14ac:dyDescent="0.25">
      <c r="A12" s="2" t="s">
        <v>729</v>
      </c>
      <c r="B12" s="3">
        <v>70</v>
      </c>
      <c r="C12" s="3">
        <v>395</v>
      </c>
      <c r="D12" s="3">
        <v>38</v>
      </c>
      <c r="E12" s="3">
        <v>85</v>
      </c>
    </row>
    <row r="13" spans="1:5" x14ac:dyDescent="0.25">
      <c r="A13" s="2" t="s">
        <v>730</v>
      </c>
      <c r="B13" s="3">
        <v>70</v>
      </c>
      <c r="C13" s="3">
        <v>188</v>
      </c>
      <c r="D13" s="3">
        <v>80</v>
      </c>
      <c r="E13" s="3">
        <v>367</v>
      </c>
    </row>
    <row r="14" spans="1:5" x14ac:dyDescent="0.25">
      <c r="A14" s="2" t="s">
        <v>731</v>
      </c>
      <c r="B14" s="3">
        <v>130</v>
      </c>
      <c r="C14" s="3">
        <v>542</v>
      </c>
      <c r="D14" s="3">
        <v>126</v>
      </c>
      <c r="E14" s="3">
        <v>367</v>
      </c>
    </row>
    <row r="15" spans="1:5" x14ac:dyDescent="0.25">
      <c r="A15" s="2" t="s">
        <v>732</v>
      </c>
      <c r="B15" s="3">
        <v>201</v>
      </c>
      <c r="C15" s="3">
        <v>527</v>
      </c>
      <c r="D15" s="3">
        <v>234</v>
      </c>
      <c r="E15" s="3">
        <v>345</v>
      </c>
    </row>
    <row r="16" spans="1:5" x14ac:dyDescent="0.25">
      <c r="A16" s="2" t="s">
        <v>733</v>
      </c>
      <c r="B16" s="3">
        <v>188</v>
      </c>
      <c r="C16" s="3">
        <v>617</v>
      </c>
      <c r="D16" s="3">
        <v>195</v>
      </c>
      <c r="E16" s="3">
        <v>518</v>
      </c>
    </row>
    <row r="17" spans="1:5" x14ac:dyDescent="0.25">
      <c r="A17" s="2" t="s">
        <v>734</v>
      </c>
      <c r="B17" s="3">
        <v>141</v>
      </c>
      <c r="C17" s="3">
        <v>468</v>
      </c>
      <c r="D17" s="3">
        <v>278</v>
      </c>
      <c r="E17" s="3">
        <v>375</v>
      </c>
    </row>
    <row r="18" spans="1:5" x14ac:dyDescent="0.25">
      <c r="A18" s="2" t="s">
        <v>735</v>
      </c>
      <c r="B18" s="3">
        <v>190</v>
      </c>
      <c r="C18" s="3">
        <v>415</v>
      </c>
      <c r="D18" s="3">
        <v>176</v>
      </c>
      <c r="E18" s="3">
        <v>349</v>
      </c>
    </row>
    <row r="19" spans="1:5" x14ac:dyDescent="0.25">
      <c r="A19" s="2" t="s">
        <v>736</v>
      </c>
      <c r="B19" s="3">
        <v>74</v>
      </c>
      <c r="C19" s="3">
        <v>385</v>
      </c>
      <c r="D19" s="3">
        <v>48</v>
      </c>
      <c r="E19" s="3">
        <v>108</v>
      </c>
    </row>
    <row r="20" spans="1:5" x14ac:dyDescent="0.25">
      <c r="A20" s="2" t="s">
        <v>737</v>
      </c>
      <c r="B20" s="3">
        <v>102</v>
      </c>
      <c r="C20" s="3">
        <v>185</v>
      </c>
      <c r="D20" s="3">
        <v>100</v>
      </c>
      <c r="E20" s="3">
        <v>378</v>
      </c>
    </row>
    <row r="21" spans="1:5" x14ac:dyDescent="0.25">
      <c r="A21" s="2" t="s">
        <v>738</v>
      </c>
      <c r="B21" s="3">
        <v>180</v>
      </c>
      <c r="C21" s="3">
        <v>545</v>
      </c>
      <c r="D21" s="3">
        <v>125</v>
      </c>
      <c r="E21" s="3">
        <v>413</v>
      </c>
    </row>
    <row r="22" spans="1:5" x14ac:dyDescent="0.25">
      <c r="A22" s="2" t="s">
        <v>739</v>
      </c>
      <c r="B22" s="3">
        <v>232</v>
      </c>
      <c r="C22" s="3">
        <v>468</v>
      </c>
      <c r="D22" s="3">
        <v>216</v>
      </c>
      <c r="E22" s="3">
        <v>330</v>
      </c>
    </row>
    <row r="23" spans="1:5" x14ac:dyDescent="0.25">
      <c r="A23" s="2" t="s">
        <v>740</v>
      </c>
      <c r="B23" s="3">
        <v>197</v>
      </c>
      <c r="C23" s="3">
        <v>610</v>
      </c>
      <c r="D23" s="3">
        <v>234</v>
      </c>
      <c r="E23" s="3">
        <v>544</v>
      </c>
    </row>
    <row r="24" spans="1:5" x14ac:dyDescent="0.25">
      <c r="A24" s="2" t="s">
        <v>741</v>
      </c>
      <c r="B24" s="3">
        <v>137</v>
      </c>
      <c r="C24" s="3">
        <v>465</v>
      </c>
      <c r="D24" s="3">
        <v>254</v>
      </c>
      <c r="E24" s="3">
        <v>366</v>
      </c>
    </row>
    <row r="25" spans="1:5" x14ac:dyDescent="0.25">
      <c r="A25" s="2" t="s">
        <v>742</v>
      </c>
      <c r="B25" s="3">
        <v>166</v>
      </c>
      <c r="C25" s="3">
        <v>362</v>
      </c>
      <c r="D25" s="3">
        <v>150</v>
      </c>
      <c r="E25" s="3">
        <v>292</v>
      </c>
    </row>
    <row r="26" spans="1:5" x14ac:dyDescent="0.25">
      <c r="A26" s="2" t="s">
        <v>743</v>
      </c>
      <c r="B26" s="3">
        <v>85</v>
      </c>
      <c r="C26" s="3">
        <v>338</v>
      </c>
      <c r="D26" s="3">
        <v>32</v>
      </c>
      <c r="E26" s="3">
        <v>84</v>
      </c>
    </row>
    <row r="27" spans="1:5" x14ac:dyDescent="0.25">
      <c r="A27" s="2" t="s">
        <v>744</v>
      </c>
      <c r="B27" s="3">
        <v>100</v>
      </c>
      <c r="C27" s="3">
        <v>145</v>
      </c>
      <c r="D27" s="3">
        <v>79</v>
      </c>
      <c r="E27" s="3">
        <v>275</v>
      </c>
    </row>
    <row r="28" spans="1:5" x14ac:dyDescent="0.25">
      <c r="A28" s="2" t="s">
        <v>745</v>
      </c>
      <c r="B28" s="3">
        <v>84</v>
      </c>
      <c r="C28" s="3">
        <v>248</v>
      </c>
      <c r="D28" s="3">
        <v>67</v>
      </c>
      <c r="E28" s="3">
        <v>285</v>
      </c>
    </row>
    <row r="29" spans="1:5" x14ac:dyDescent="0.25">
      <c r="A29" s="2" t="s">
        <v>746</v>
      </c>
      <c r="B29" s="3">
        <v>215</v>
      </c>
      <c r="C29" s="3">
        <v>439</v>
      </c>
      <c r="D29" s="3">
        <v>223</v>
      </c>
      <c r="E29" s="3">
        <v>346</v>
      </c>
    </row>
    <row r="30" spans="1:5" x14ac:dyDescent="0.25">
      <c r="A30" s="2" t="s">
        <v>747</v>
      </c>
      <c r="B30" s="3">
        <v>210</v>
      </c>
      <c r="C30" s="3">
        <v>579</v>
      </c>
      <c r="D30" s="3">
        <v>186</v>
      </c>
      <c r="E30" s="3">
        <v>525</v>
      </c>
    </row>
    <row r="31" spans="1:5" x14ac:dyDescent="0.25">
      <c r="A31" s="2" t="s">
        <v>748</v>
      </c>
      <c r="B31" s="3">
        <v>121</v>
      </c>
      <c r="C31" s="3">
        <v>657</v>
      </c>
      <c r="D31" s="3">
        <v>212</v>
      </c>
      <c r="E31" s="3">
        <v>315</v>
      </c>
    </row>
    <row r="32" spans="1:5" x14ac:dyDescent="0.25">
      <c r="A32" s="2" t="s">
        <v>749</v>
      </c>
      <c r="B32" s="3">
        <v>185</v>
      </c>
      <c r="C32" s="3">
        <v>357</v>
      </c>
      <c r="D32" s="3">
        <v>192</v>
      </c>
      <c r="E32" s="3">
        <v>315</v>
      </c>
    </row>
    <row r="33" spans="1:5" x14ac:dyDescent="0.25">
      <c r="A33" s="2" t="s">
        <v>750</v>
      </c>
      <c r="B33" s="3">
        <v>101</v>
      </c>
      <c r="C33" s="3">
        <v>346</v>
      </c>
      <c r="D33" s="3">
        <v>50</v>
      </c>
      <c r="E33" s="3">
        <v>93</v>
      </c>
    </row>
    <row r="34" spans="1:5" x14ac:dyDescent="0.25">
      <c r="A34" s="1" t="s">
        <v>36</v>
      </c>
      <c r="B34" s="1">
        <f>SUM(B3:B33)</f>
        <v>3951</v>
      </c>
      <c r="C34" s="1">
        <f>SUM(C3:C33)</f>
        <v>12107</v>
      </c>
      <c r="D34" s="1">
        <f>SUM(D3:D33)</f>
        <v>4125</v>
      </c>
      <c r="E34" s="1">
        <f>SUM(E3:E33)</f>
        <v>9270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5C31-148D-4C5F-8128-3DCA8EB027E8}">
  <dimension ref="A1:E32"/>
  <sheetViews>
    <sheetView workbookViewId="0">
      <selection activeCell="F12" sqref="F12"/>
    </sheetView>
  </sheetViews>
  <sheetFormatPr defaultRowHeight="15" x14ac:dyDescent="0.25"/>
  <sheetData>
    <row r="1" spans="1:5" x14ac:dyDescent="0.25">
      <c r="A1" s="21">
        <v>46054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751</v>
      </c>
      <c r="B3" s="3">
        <v>95</v>
      </c>
      <c r="C3" s="3">
        <v>183</v>
      </c>
      <c r="D3" s="3">
        <v>92</v>
      </c>
      <c r="E3" s="3">
        <v>410</v>
      </c>
    </row>
    <row r="4" spans="1:5" x14ac:dyDescent="0.25">
      <c r="A4" s="2" t="s">
        <v>752</v>
      </c>
      <c r="B4" s="3">
        <v>179</v>
      </c>
      <c r="C4" s="3">
        <v>511</v>
      </c>
      <c r="D4" s="3">
        <v>114</v>
      </c>
      <c r="E4" s="3">
        <v>468</v>
      </c>
    </row>
    <row r="5" spans="1:5" x14ac:dyDescent="0.25">
      <c r="A5" s="2" t="s">
        <v>753</v>
      </c>
      <c r="B5" s="3">
        <v>187</v>
      </c>
      <c r="C5" s="3">
        <v>446</v>
      </c>
      <c r="D5" s="3">
        <v>198</v>
      </c>
      <c r="E5" s="3">
        <v>347</v>
      </c>
    </row>
    <row r="6" spans="1:5" x14ac:dyDescent="0.25">
      <c r="A6" s="2" t="s">
        <v>754</v>
      </c>
      <c r="B6" s="3">
        <v>226</v>
      </c>
      <c r="C6" s="3">
        <v>568</v>
      </c>
      <c r="D6" s="3">
        <v>187</v>
      </c>
      <c r="E6" s="3">
        <v>508</v>
      </c>
    </row>
    <row r="7" spans="1:5" x14ac:dyDescent="0.25">
      <c r="A7" s="2" t="s">
        <v>755</v>
      </c>
      <c r="B7" s="3">
        <v>150</v>
      </c>
      <c r="C7" s="3">
        <v>479</v>
      </c>
      <c r="D7" s="3">
        <v>237</v>
      </c>
      <c r="E7" s="3">
        <v>395</v>
      </c>
    </row>
    <row r="8" spans="1:5" x14ac:dyDescent="0.25">
      <c r="A8" s="2" t="s">
        <v>756</v>
      </c>
      <c r="B8" s="3">
        <v>199</v>
      </c>
      <c r="C8" s="3">
        <v>442</v>
      </c>
      <c r="D8" s="3">
        <v>200</v>
      </c>
      <c r="E8" s="3">
        <v>432</v>
      </c>
    </row>
    <row r="9" spans="1:5" x14ac:dyDescent="0.25">
      <c r="A9" s="2" t="s">
        <v>757</v>
      </c>
      <c r="B9" s="3">
        <v>140</v>
      </c>
      <c r="C9" s="3">
        <v>495</v>
      </c>
      <c r="D9" s="3">
        <v>56</v>
      </c>
      <c r="E9" s="3">
        <v>104</v>
      </c>
    </row>
    <row r="10" spans="1:5" x14ac:dyDescent="0.25">
      <c r="A10" s="2" t="s">
        <v>758</v>
      </c>
      <c r="B10" s="3">
        <v>102</v>
      </c>
      <c r="C10" s="3">
        <v>184</v>
      </c>
      <c r="D10" s="3">
        <v>104</v>
      </c>
      <c r="E10" s="3">
        <v>438</v>
      </c>
    </row>
    <row r="11" spans="1:5" x14ac:dyDescent="0.25">
      <c r="A11" s="2" t="s">
        <v>759</v>
      </c>
      <c r="B11" s="3">
        <v>191</v>
      </c>
      <c r="C11" s="3">
        <v>559</v>
      </c>
      <c r="D11" s="3">
        <v>115</v>
      </c>
      <c r="E11" s="3">
        <v>445</v>
      </c>
    </row>
    <row r="12" spans="1:5" x14ac:dyDescent="0.25">
      <c r="A12" s="2" t="s">
        <v>760</v>
      </c>
      <c r="B12" s="3">
        <v>255</v>
      </c>
      <c r="C12" s="3">
        <v>482</v>
      </c>
      <c r="D12" s="3">
        <v>235</v>
      </c>
      <c r="E12" s="3">
        <v>316</v>
      </c>
    </row>
    <row r="13" spans="1:5" x14ac:dyDescent="0.25">
      <c r="A13" s="2" t="s">
        <v>761</v>
      </c>
      <c r="B13" s="3">
        <v>240</v>
      </c>
      <c r="C13" s="3">
        <v>554</v>
      </c>
      <c r="D13" s="3">
        <v>178</v>
      </c>
      <c r="E13" s="3">
        <v>518</v>
      </c>
    </row>
    <row r="14" spans="1:5" x14ac:dyDescent="0.25">
      <c r="A14" s="2" t="s">
        <v>762</v>
      </c>
      <c r="B14" s="3">
        <v>196</v>
      </c>
      <c r="C14" s="3">
        <v>444</v>
      </c>
      <c r="D14" s="3">
        <v>229</v>
      </c>
      <c r="E14" s="3">
        <v>362</v>
      </c>
    </row>
    <row r="15" spans="1:5" x14ac:dyDescent="0.25">
      <c r="A15" s="2" t="s">
        <v>763</v>
      </c>
      <c r="B15" s="3">
        <v>198</v>
      </c>
      <c r="C15" s="3">
        <v>535</v>
      </c>
      <c r="D15" s="3">
        <v>152</v>
      </c>
      <c r="E15" s="3">
        <v>333</v>
      </c>
    </row>
    <row r="16" spans="1:5" x14ac:dyDescent="0.25">
      <c r="A16" s="2" t="s">
        <v>764</v>
      </c>
      <c r="B16" s="3">
        <v>96</v>
      </c>
      <c r="C16" s="3">
        <v>374</v>
      </c>
      <c r="D16" s="3">
        <v>48</v>
      </c>
      <c r="E16" s="3">
        <v>123</v>
      </c>
    </row>
    <row r="17" spans="1:5" x14ac:dyDescent="0.25">
      <c r="A17" s="2" t="s">
        <v>765</v>
      </c>
      <c r="B17" s="3">
        <v>85</v>
      </c>
      <c r="C17" s="3">
        <v>155</v>
      </c>
      <c r="D17" s="3">
        <v>90</v>
      </c>
      <c r="E17" s="3">
        <v>345</v>
      </c>
    </row>
    <row r="18" spans="1:5" x14ac:dyDescent="0.25">
      <c r="A18" s="2" t="s">
        <v>766</v>
      </c>
      <c r="B18" s="3">
        <v>195</v>
      </c>
      <c r="C18" s="3">
        <v>529</v>
      </c>
      <c r="D18" s="3">
        <v>94</v>
      </c>
      <c r="E18" s="3">
        <v>408</v>
      </c>
    </row>
    <row r="19" spans="1:5" x14ac:dyDescent="0.25">
      <c r="A19" s="2" t="s">
        <v>767</v>
      </c>
      <c r="B19" s="3">
        <v>217</v>
      </c>
      <c r="C19" s="3">
        <v>491</v>
      </c>
      <c r="D19" s="3">
        <v>201</v>
      </c>
      <c r="E19" s="3">
        <v>305</v>
      </c>
    </row>
    <row r="20" spans="1:5" x14ac:dyDescent="0.25">
      <c r="A20" s="2" t="s">
        <v>768</v>
      </c>
      <c r="B20" s="3">
        <v>235</v>
      </c>
      <c r="C20" s="3">
        <v>556</v>
      </c>
      <c r="D20" s="3">
        <v>211</v>
      </c>
      <c r="E20" s="3">
        <v>518</v>
      </c>
    </row>
    <row r="21" spans="1:5" x14ac:dyDescent="0.25">
      <c r="A21" s="2" t="s">
        <v>769</v>
      </c>
      <c r="B21" s="3">
        <v>173</v>
      </c>
      <c r="C21" s="3">
        <v>400</v>
      </c>
      <c r="D21" s="3">
        <v>247</v>
      </c>
      <c r="E21" s="3">
        <v>361</v>
      </c>
    </row>
    <row r="22" spans="1:5" x14ac:dyDescent="0.25">
      <c r="A22" s="2" t="s">
        <v>770</v>
      </c>
      <c r="B22" s="3">
        <v>205</v>
      </c>
      <c r="C22" s="3">
        <v>487</v>
      </c>
      <c r="D22" s="3">
        <v>171</v>
      </c>
      <c r="E22" s="3">
        <v>456</v>
      </c>
    </row>
    <row r="23" spans="1:5" x14ac:dyDescent="0.25">
      <c r="A23" s="2" t="s">
        <v>771</v>
      </c>
      <c r="B23" s="3">
        <v>160</v>
      </c>
      <c r="C23" s="3">
        <v>484</v>
      </c>
      <c r="D23" s="3">
        <v>118</v>
      </c>
      <c r="E23" s="3">
        <v>188</v>
      </c>
    </row>
    <row r="24" spans="1:5" x14ac:dyDescent="0.25">
      <c r="A24" s="2" t="s">
        <v>772</v>
      </c>
      <c r="B24" s="3">
        <v>185</v>
      </c>
      <c r="C24" s="3">
        <v>252</v>
      </c>
      <c r="D24" s="3">
        <v>173</v>
      </c>
      <c r="E24" s="3">
        <v>502</v>
      </c>
    </row>
    <row r="25" spans="1:5" x14ac:dyDescent="0.25">
      <c r="A25" s="2" t="s">
        <v>773</v>
      </c>
      <c r="B25" s="3">
        <v>171</v>
      </c>
      <c r="C25" s="3">
        <v>500</v>
      </c>
      <c r="D25" s="3">
        <v>110</v>
      </c>
      <c r="E25" s="3">
        <v>359</v>
      </c>
    </row>
    <row r="26" spans="1:5" x14ac:dyDescent="0.25">
      <c r="A26" s="2" t="s">
        <v>774</v>
      </c>
      <c r="B26" s="3">
        <v>150</v>
      </c>
      <c r="C26" s="3">
        <v>397</v>
      </c>
      <c r="D26" s="3">
        <v>240</v>
      </c>
      <c r="E26" s="3">
        <v>293</v>
      </c>
    </row>
    <row r="27" spans="1:5" x14ac:dyDescent="0.25">
      <c r="A27" s="2" t="s">
        <v>775</v>
      </c>
      <c r="B27" s="3">
        <v>180</v>
      </c>
      <c r="C27" s="3">
        <v>476</v>
      </c>
      <c r="D27" s="3">
        <v>157</v>
      </c>
      <c r="E27" s="3">
        <v>465</v>
      </c>
    </row>
    <row r="28" spans="1:5" x14ac:dyDescent="0.25">
      <c r="A28" s="2" t="s">
        <v>776</v>
      </c>
      <c r="B28" s="3">
        <v>172</v>
      </c>
      <c r="C28" s="3">
        <v>321</v>
      </c>
      <c r="D28" s="3">
        <v>177</v>
      </c>
      <c r="E28" s="3">
        <v>278</v>
      </c>
    </row>
    <row r="29" spans="1:5" x14ac:dyDescent="0.25">
      <c r="A29" s="2" t="s">
        <v>777</v>
      </c>
      <c r="B29" s="3">
        <v>165</v>
      </c>
      <c r="C29" s="3">
        <v>343</v>
      </c>
      <c r="D29" s="3">
        <v>140</v>
      </c>
      <c r="E29" s="3">
        <v>340</v>
      </c>
    </row>
    <row r="30" spans="1:5" x14ac:dyDescent="0.25">
      <c r="A30" s="2" t="s">
        <v>778</v>
      </c>
      <c r="B30" s="3">
        <v>143</v>
      </c>
      <c r="C30" s="3">
        <v>386</v>
      </c>
      <c r="D30" s="3">
        <v>60</v>
      </c>
      <c r="E30" s="3">
        <v>85</v>
      </c>
    </row>
    <row r="31" spans="1:5" x14ac:dyDescent="0.25">
      <c r="A31" s="35"/>
      <c r="B31" s="35"/>
      <c r="C31" s="35"/>
      <c r="D31" s="35"/>
      <c r="E31" s="35"/>
    </row>
    <row r="32" spans="1:5" x14ac:dyDescent="0.25">
      <c r="A32" s="1" t="s">
        <v>36</v>
      </c>
      <c r="B32" s="1">
        <f>SUM(B3:B31)</f>
        <v>4890</v>
      </c>
      <c r="C32" s="1">
        <f>SUM(C3:C31)</f>
        <v>12033</v>
      </c>
      <c r="D32" s="1">
        <f>SUM(D3:D31)</f>
        <v>4334</v>
      </c>
      <c r="E32" s="1">
        <f>SUM(E3:E31)</f>
        <v>10102</v>
      </c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4FE8-7765-4E0E-9503-1C8809952A12}">
  <dimension ref="A1:E34"/>
  <sheetViews>
    <sheetView workbookViewId="0">
      <selection activeCell="H16" sqref="H16"/>
    </sheetView>
  </sheetViews>
  <sheetFormatPr defaultRowHeight="15" x14ac:dyDescent="0.25"/>
  <sheetData>
    <row r="1" spans="1:5" x14ac:dyDescent="0.25">
      <c r="A1" s="21">
        <v>46082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779</v>
      </c>
      <c r="B3" s="3">
        <v>85</v>
      </c>
      <c r="C3" s="3">
        <v>120</v>
      </c>
      <c r="D3" s="3">
        <v>42</v>
      </c>
      <c r="E3" s="3">
        <v>162</v>
      </c>
    </row>
    <row r="4" spans="1:5" x14ac:dyDescent="0.25">
      <c r="A4" s="2" t="s">
        <v>780</v>
      </c>
      <c r="B4" s="3">
        <v>46</v>
      </c>
      <c r="C4" s="3">
        <v>310</v>
      </c>
      <c r="D4" s="3">
        <v>12</v>
      </c>
      <c r="E4" s="3">
        <v>70</v>
      </c>
    </row>
    <row r="5" spans="1:5" x14ac:dyDescent="0.25">
      <c r="A5" s="2" t="s">
        <v>781</v>
      </c>
      <c r="B5" s="3">
        <v>33</v>
      </c>
      <c r="C5" s="3">
        <v>112</v>
      </c>
      <c r="D5" s="3">
        <v>26</v>
      </c>
      <c r="E5" s="3">
        <v>68</v>
      </c>
    </row>
    <row r="6" spans="1:5" x14ac:dyDescent="0.25">
      <c r="A6" s="2" t="s">
        <v>782</v>
      </c>
      <c r="B6" s="3">
        <v>45</v>
      </c>
      <c r="C6" s="3">
        <v>89</v>
      </c>
      <c r="D6" s="3">
        <v>20</v>
      </c>
      <c r="E6" s="3">
        <v>119</v>
      </c>
    </row>
    <row r="7" spans="1:5" x14ac:dyDescent="0.25">
      <c r="A7" s="2" t="s">
        <v>783</v>
      </c>
      <c r="B7" s="3">
        <v>45</v>
      </c>
      <c r="C7" s="3">
        <v>108</v>
      </c>
      <c r="D7" s="3">
        <v>35</v>
      </c>
      <c r="E7" s="3">
        <v>85</v>
      </c>
    </row>
    <row r="8" spans="1:5" x14ac:dyDescent="0.25">
      <c r="A8" s="2" t="s">
        <v>784</v>
      </c>
      <c r="B8" s="3">
        <v>60</v>
      </c>
      <c r="C8" s="3">
        <v>138</v>
      </c>
      <c r="D8" s="3">
        <v>28</v>
      </c>
      <c r="E8" s="3">
        <v>114</v>
      </c>
    </row>
    <row r="9" spans="1:5" x14ac:dyDescent="0.25">
      <c r="A9" s="2" t="s">
        <v>785</v>
      </c>
      <c r="B9" s="3">
        <v>73</v>
      </c>
      <c r="C9" s="3">
        <v>172</v>
      </c>
      <c r="D9" s="3">
        <v>14</v>
      </c>
      <c r="E9" s="3">
        <v>61</v>
      </c>
    </row>
    <row r="10" spans="1:5" x14ac:dyDescent="0.25">
      <c r="A10" s="2" t="s">
        <v>786</v>
      </c>
      <c r="B10" s="3">
        <v>78</v>
      </c>
      <c r="C10" s="3">
        <v>134</v>
      </c>
      <c r="D10" s="3">
        <v>55</v>
      </c>
      <c r="E10" s="3">
        <v>236</v>
      </c>
    </row>
    <row r="11" spans="1:5" x14ac:dyDescent="0.25">
      <c r="A11" s="2" t="s">
        <v>787</v>
      </c>
      <c r="B11" s="3">
        <v>94</v>
      </c>
      <c r="C11" s="3">
        <v>465</v>
      </c>
      <c r="D11" s="3">
        <v>101</v>
      </c>
      <c r="E11" s="3">
        <v>297</v>
      </c>
    </row>
    <row r="12" spans="1:5" x14ac:dyDescent="0.25">
      <c r="A12" s="2" t="s">
        <v>788</v>
      </c>
      <c r="B12" s="3">
        <v>185</v>
      </c>
      <c r="C12" s="3">
        <v>566</v>
      </c>
      <c r="D12" s="3">
        <v>151</v>
      </c>
      <c r="E12" s="3">
        <v>313</v>
      </c>
    </row>
    <row r="13" spans="1:5" x14ac:dyDescent="0.25">
      <c r="A13" s="2" t="s">
        <v>789</v>
      </c>
      <c r="B13" s="3">
        <v>229</v>
      </c>
      <c r="C13" s="3">
        <v>426</v>
      </c>
      <c r="D13" s="3">
        <v>180</v>
      </c>
      <c r="E13" s="3">
        <v>452</v>
      </c>
    </row>
    <row r="14" spans="1:5" x14ac:dyDescent="0.25">
      <c r="A14" s="2" t="s">
        <v>790</v>
      </c>
      <c r="B14" s="3">
        <v>158</v>
      </c>
      <c r="C14" s="3">
        <v>413</v>
      </c>
      <c r="D14" s="3">
        <v>265</v>
      </c>
      <c r="E14" s="3">
        <v>321</v>
      </c>
    </row>
    <row r="15" spans="1:5" x14ac:dyDescent="0.25">
      <c r="A15" s="2" t="s">
        <v>791</v>
      </c>
      <c r="B15" s="3">
        <v>173</v>
      </c>
      <c r="C15" s="3">
        <v>320</v>
      </c>
      <c r="D15" s="3">
        <v>89</v>
      </c>
      <c r="E15" s="3">
        <v>267</v>
      </c>
    </row>
    <row r="16" spans="1:5" x14ac:dyDescent="0.25">
      <c r="A16" s="2" t="s">
        <v>792</v>
      </c>
      <c r="B16" s="3">
        <v>114</v>
      </c>
      <c r="C16" s="3">
        <v>343</v>
      </c>
      <c r="D16" s="3">
        <v>102</v>
      </c>
      <c r="E16" s="3">
        <v>118</v>
      </c>
    </row>
    <row r="17" spans="1:5" x14ac:dyDescent="0.25">
      <c r="A17" s="2" t="s">
        <v>793</v>
      </c>
      <c r="B17" s="3">
        <v>107</v>
      </c>
      <c r="C17" s="3">
        <v>194</v>
      </c>
      <c r="D17" s="3">
        <v>86</v>
      </c>
      <c r="E17" s="3">
        <v>379</v>
      </c>
    </row>
    <row r="18" spans="1:5" x14ac:dyDescent="0.25">
      <c r="A18" s="2" t="s">
        <v>794</v>
      </c>
      <c r="B18" s="3">
        <v>182</v>
      </c>
      <c r="C18" s="3">
        <v>532</v>
      </c>
      <c r="D18" s="3">
        <v>96</v>
      </c>
      <c r="E18" s="3">
        <v>393</v>
      </c>
    </row>
    <row r="19" spans="1:5" x14ac:dyDescent="0.25">
      <c r="A19" s="2" t="s">
        <v>795</v>
      </c>
      <c r="B19" s="3">
        <v>195</v>
      </c>
      <c r="C19" s="3">
        <v>620</v>
      </c>
      <c r="D19" s="3">
        <v>136</v>
      </c>
      <c r="E19" s="3">
        <v>334</v>
      </c>
    </row>
    <row r="20" spans="1:5" x14ac:dyDescent="0.25">
      <c r="A20" s="2" t="s">
        <v>796</v>
      </c>
      <c r="B20" s="3">
        <v>235</v>
      </c>
      <c r="C20" s="3">
        <v>390</v>
      </c>
      <c r="D20" s="3">
        <v>168</v>
      </c>
      <c r="E20" s="3">
        <v>520</v>
      </c>
    </row>
    <row r="21" spans="1:5" x14ac:dyDescent="0.25">
      <c r="A21" s="2" t="s">
        <v>797</v>
      </c>
      <c r="B21" s="3">
        <v>168</v>
      </c>
      <c r="C21" s="3">
        <v>428</v>
      </c>
      <c r="D21" s="3">
        <v>235</v>
      </c>
      <c r="E21" s="3">
        <v>378</v>
      </c>
    </row>
    <row r="22" spans="1:5" x14ac:dyDescent="0.25">
      <c r="A22" s="2" t="s">
        <v>798</v>
      </c>
      <c r="B22" s="3">
        <v>155</v>
      </c>
      <c r="C22" s="3">
        <v>423</v>
      </c>
      <c r="D22" s="3">
        <v>160</v>
      </c>
      <c r="E22" s="3">
        <v>322</v>
      </c>
    </row>
    <row r="23" spans="1:5" x14ac:dyDescent="0.25">
      <c r="A23" s="2" t="s">
        <v>799</v>
      </c>
      <c r="B23" s="3">
        <v>109</v>
      </c>
      <c r="C23" s="3">
        <v>351</v>
      </c>
      <c r="D23" s="3">
        <v>115</v>
      </c>
      <c r="E23" s="3">
        <v>110</v>
      </c>
    </row>
    <row r="24" spans="1:5" x14ac:dyDescent="0.25">
      <c r="A24" s="2" t="s">
        <v>800</v>
      </c>
      <c r="B24" s="3">
        <v>110</v>
      </c>
      <c r="C24" s="3">
        <v>235</v>
      </c>
      <c r="D24" s="3">
        <v>101</v>
      </c>
      <c r="E24" s="3">
        <v>318</v>
      </c>
    </row>
    <row r="25" spans="1:5" x14ac:dyDescent="0.25">
      <c r="A25" s="2" t="s">
        <v>801</v>
      </c>
      <c r="B25" s="3">
        <v>141</v>
      </c>
      <c r="C25" s="3">
        <v>535</v>
      </c>
      <c r="D25" s="3">
        <v>87</v>
      </c>
      <c r="E25" s="3">
        <v>426</v>
      </c>
    </row>
    <row r="26" spans="1:5" x14ac:dyDescent="0.25">
      <c r="A26" s="2" t="s">
        <v>802</v>
      </c>
      <c r="B26" s="3">
        <v>143</v>
      </c>
      <c r="C26" s="3">
        <v>575</v>
      </c>
      <c r="D26" s="3">
        <v>106</v>
      </c>
      <c r="E26" s="3">
        <v>292</v>
      </c>
    </row>
    <row r="27" spans="1:5" x14ac:dyDescent="0.25">
      <c r="A27" s="2" t="s">
        <v>803</v>
      </c>
      <c r="B27" s="3">
        <v>219</v>
      </c>
      <c r="C27" s="3">
        <v>398</v>
      </c>
      <c r="D27" s="3">
        <v>154</v>
      </c>
      <c r="E27" s="3">
        <v>387</v>
      </c>
    </row>
    <row r="28" spans="1:5" x14ac:dyDescent="0.25">
      <c r="A28" s="2" t="s">
        <v>804</v>
      </c>
      <c r="B28" s="3">
        <v>128</v>
      </c>
      <c r="C28" s="3">
        <v>447</v>
      </c>
      <c r="D28" s="3">
        <v>160</v>
      </c>
      <c r="E28" s="3">
        <v>280</v>
      </c>
    </row>
    <row r="29" spans="1:5" x14ac:dyDescent="0.25">
      <c r="A29" s="2" t="s">
        <v>805</v>
      </c>
      <c r="B29" s="3">
        <v>135</v>
      </c>
      <c r="C29" s="3">
        <v>347</v>
      </c>
      <c r="D29" s="3">
        <v>149</v>
      </c>
      <c r="E29" s="3">
        <v>291</v>
      </c>
    </row>
    <row r="30" spans="1:5" x14ac:dyDescent="0.25">
      <c r="A30" s="2" t="s">
        <v>806</v>
      </c>
      <c r="B30" s="3">
        <v>126</v>
      </c>
      <c r="C30" s="3">
        <v>345</v>
      </c>
      <c r="D30" s="3">
        <v>123</v>
      </c>
      <c r="E30" s="3">
        <v>115</v>
      </c>
    </row>
    <row r="31" spans="1:5" x14ac:dyDescent="0.25">
      <c r="A31" s="3" t="s">
        <v>807</v>
      </c>
      <c r="B31" s="3">
        <v>120</v>
      </c>
      <c r="C31" s="3">
        <v>186</v>
      </c>
      <c r="D31" s="3">
        <v>84</v>
      </c>
      <c r="E31" s="3">
        <v>392</v>
      </c>
    </row>
    <row r="32" spans="1:5" x14ac:dyDescent="0.25">
      <c r="A32" s="3" t="s">
        <v>808</v>
      </c>
      <c r="B32" s="3">
        <v>195</v>
      </c>
      <c r="C32" s="3">
        <v>482</v>
      </c>
      <c r="D32" s="3">
        <v>68</v>
      </c>
      <c r="E32" s="3">
        <v>334</v>
      </c>
    </row>
    <row r="33" spans="1:5" x14ac:dyDescent="0.25">
      <c r="A33" s="3" t="s">
        <v>809</v>
      </c>
      <c r="B33" s="3">
        <v>125</v>
      </c>
      <c r="C33" s="3">
        <v>443</v>
      </c>
      <c r="D33" s="3">
        <v>41</v>
      </c>
      <c r="E33" s="3">
        <v>282</v>
      </c>
    </row>
    <row r="34" spans="1:5" x14ac:dyDescent="0.25">
      <c r="A34" s="1" t="s">
        <v>36</v>
      </c>
      <c r="B34" s="1">
        <f>SUM(B3:B33)</f>
        <v>4011</v>
      </c>
      <c r="C34" s="1">
        <f>SUM(C3:C33)</f>
        <v>10647</v>
      </c>
      <c r="D34" s="1">
        <f>SUM(D3:D33)</f>
        <v>3189</v>
      </c>
      <c r="E34" s="1">
        <f>SUM(E3:E33)</f>
        <v>8236</v>
      </c>
    </row>
  </sheetData>
  <mergeCells count="1">
    <mergeCell ref="A1:E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EF09-18E7-46B5-99A9-20CCF4E907F4}">
  <dimension ref="A1:E34"/>
  <sheetViews>
    <sheetView workbookViewId="0">
      <selection activeCell="H18" sqref="H18"/>
    </sheetView>
  </sheetViews>
  <sheetFormatPr defaultRowHeight="15" x14ac:dyDescent="0.25"/>
  <sheetData>
    <row r="1" spans="1:5" x14ac:dyDescent="0.25">
      <c r="A1" s="21">
        <v>46113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810</v>
      </c>
      <c r="B3" s="3">
        <v>200</v>
      </c>
      <c r="C3" s="3">
        <v>349</v>
      </c>
      <c r="D3" s="3">
        <v>167</v>
      </c>
      <c r="E3" s="3">
        <v>487</v>
      </c>
    </row>
    <row r="4" spans="1:5" x14ac:dyDescent="0.25">
      <c r="A4" s="2" t="s">
        <v>811</v>
      </c>
      <c r="B4" s="3">
        <v>175</v>
      </c>
      <c r="C4" s="3">
        <v>420</v>
      </c>
      <c r="D4" s="3">
        <v>183</v>
      </c>
      <c r="E4" s="3">
        <v>281</v>
      </c>
    </row>
    <row r="5" spans="1:5" x14ac:dyDescent="0.25">
      <c r="A5" s="2" t="s">
        <v>812</v>
      </c>
      <c r="B5" s="3">
        <v>151</v>
      </c>
      <c r="C5" s="3">
        <v>245</v>
      </c>
      <c r="D5" s="3">
        <v>91</v>
      </c>
      <c r="E5" s="3">
        <v>375</v>
      </c>
    </row>
    <row r="6" spans="1:5" x14ac:dyDescent="0.25">
      <c r="A6" s="2" t="s">
        <v>813</v>
      </c>
      <c r="B6" s="3">
        <v>105</v>
      </c>
      <c r="C6" s="3">
        <v>317</v>
      </c>
      <c r="D6" s="3">
        <v>112</v>
      </c>
      <c r="E6" s="3">
        <v>120</v>
      </c>
    </row>
    <row r="7" spans="1:5" x14ac:dyDescent="0.25">
      <c r="A7" s="2" t="s">
        <v>814</v>
      </c>
      <c r="B7" s="3">
        <v>123</v>
      </c>
      <c r="C7" s="3">
        <v>196</v>
      </c>
      <c r="D7" s="3">
        <v>96</v>
      </c>
      <c r="E7" s="3">
        <v>365</v>
      </c>
    </row>
    <row r="8" spans="1:5" x14ac:dyDescent="0.25">
      <c r="A8" s="2" t="s">
        <v>815</v>
      </c>
      <c r="B8" s="3">
        <v>155</v>
      </c>
      <c r="C8" s="3">
        <v>553</v>
      </c>
      <c r="D8" s="3">
        <v>81</v>
      </c>
      <c r="E8" s="3">
        <v>388</v>
      </c>
    </row>
    <row r="9" spans="1:5" x14ac:dyDescent="0.25">
      <c r="A9" s="2" t="s">
        <v>816</v>
      </c>
      <c r="B9" s="3">
        <v>178</v>
      </c>
      <c r="C9" s="3">
        <v>599</v>
      </c>
      <c r="D9" s="3">
        <v>87</v>
      </c>
      <c r="E9" s="3">
        <v>313</v>
      </c>
    </row>
    <row r="10" spans="1:5" x14ac:dyDescent="0.25">
      <c r="A10" s="2" t="s">
        <v>817</v>
      </c>
      <c r="B10" s="3">
        <v>233</v>
      </c>
      <c r="C10" s="3">
        <v>403</v>
      </c>
      <c r="D10" s="3">
        <v>211</v>
      </c>
      <c r="E10" s="3">
        <v>490</v>
      </c>
    </row>
    <row r="11" spans="1:5" x14ac:dyDescent="0.25">
      <c r="A11" s="2" t="s">
        <v>818</v>
      </c>
      <c r="B11" s="3">
        <v>172</v>
      </c>
      <c r="C11" s="3">
        <v>411</v>
      </c>
      <c r="D11" s="3">
        <v>185</v>
      </c>
      <c r="E11" s="3">
        <v>322</v>
      </c>
    </row>
    <row r="12" spans="1:5" x14ac:dyDescent="0.25">
      <c r="A12" s="2" t="s">
        <v>819</v>
      </c>
      <c r="B12" s="3">
        <v>136</v>
      </c>
      <c r="C12" s="3">
        <v>338</v>
      </c>
      <c r="D12" s="3">
        <v>104</v>
      </c>
      <c r="E12" s="3">
        <v>338</v>
      </c>
    </row>
    <row r="13" spans="1:5" x14ac:dyDescent="0.25">
      <c r="A13" s="2" t="s">
        <v>820</v>
      </c>
      <c r="B13" s="3">
        <v>110</v>
      </c>
      <c r="C13" s="3">
        <v>353</v>
      </c>
      <c r="D13" s="3">
        <v>120</v>
      </c>
      <c r="E13" s="3">
        <v>122</v>
      </c>
    </row>
    <row r="14" spans="1:5" x14ac:dyDescent="0.25">
      <c r="A14" s="2" t="s">
        <v>821</v>
      </c>
      <c r="B14" s="3">
        <v>122</v>
      </c>
      <c r="C14" s="3">
        <v>190</v>
      </c>
      <c r="D14" s="3">
        <v>106</v>
      </c>
      <c r="E14" s="3">
        <v>398</v>
      </c>
    </row>
    <row r="15" spans="1:5" x14ac:dyDescent="0.25">
      <c r="A15" s="2" t="s">
        <v>822</v>
      </c>
      <c r="B15" s="3">
        <v>197</v>
      </c>
      <c r="C15" s="3">
        <v>489</v>
      </c>
      <c r="D15" s="3">
        <v>79</v>
      </c>
      <c r="E15" s="3">
        <v>342</v>
      </c>
    </row>
    <row r="16" spans="1:5" x14ac:dyDescent="0.25">
      <c r="A16" s="2" t="s">
        <v>823</v>
      </c>
      <c r="B16" s="3">
        <v>130</v>
      </c>
      <c r="C16" s="3">
        <v>508</v>
      </c>
      <c r="D16" s="3">
        <v>77</v>
      </c>
      <c r="E16" s="3">
        <v>274</v>
      </c>
    </row>
    <row r="17" spans="1:5" x14ac:dyDescent="0.25">
      <c r="A17" s="2" t="s">
        <v>824</v>
      </c>
      <c r="B17" s="3">
        <v>237</v>
      </c>
      <c r="C17" s="3">
        <v>385</v>
      </c>
      <c r="D17" s="3">
        <v>190</v>
      </c>
      <c r="E17" s="3">
        <v>522</v>
      </c>
    </row>
    <row r="18" spans="1:5" x14ac:dyDescent="0.25">
      <c r="A18" s="2" t="s">
        <v>825</v>
      </c>
      <c r="B18" s="3">
        <v>197</v>
      </c>
      <c r="C18" s="3">
        <v>417</v>
      </c>
      <c r="D18" s="3">
        <v>186</v>
      </c>
      <c r="E18" s="3">
        <v>372</v>
      </c>
    </row>
    <row r="19" spans="1:5" x14ac:dyDescent="0.25">
      <c r="A19" s="2" t="s">
        <v>826</v>
      </c>
      <c r="B19" s="3">
        <v>205</v>
      </c>
      <c r="C19" s="3">
        <v>395</v>
      </c>
      <c r="D19" s="3">
        <v>173</v>
      </c>
      <c r="E19" s="3">
        <v>435</v>
      </c>
    </row>
    <row r="20" spans="1:5" x14ac:dyDescent="0.25">
      <c r="A20" s="2" t="s">
        <v>827</v>
      </c>
      <c r="B20" s="3">
        <v>184</v>
      </c>
      <c r="C20" s="3">
        <v>517</v>
      </c>
      <c r="D20" s="3">
        <v>162</v>
      </c>
      <c r="E20" s="3">
        <v>113</v>
      </c>
    </row>
    <row r="21" spans="1:5" x14ac:dyDescent="0.25">
      <c r="A21" s="2" t="s">
        <v>828</v>
      </c>
      <c r="B21" s="3">
        <v>136</v>
      </c>
      <c r="C21" s="3">
        <v>217</v>
      </c>
      <c r="D21" s="3">
        <v>124</v>
      </c>
      <c r="E21" s="3">
        <v>379</v>
      </c>
    </row>
    <row r="22" spans="1:5" x14ac:dyDescent="0.25">
      <c r="A22" s="2" t="s">
        <v>829</v>
      </c>
      <c r="B22" s="3">
        <v>182</v>
      </c>
      <c r="C22" s="3">
        <v>480</v>
      </c>
      <c r="D22" s="3">
        <v>71</v>
      </c>
      <c r="E22" s="3">
        <v>313</v>
      </c>
    </row>
    <row r="23" spans="1:5" x14ac:dyDescent="0.25">
      <c r="A23" s="2" t="s">
        <v>830</v>
      </c>
      <c r="B23" s="3">
        <v>141</v>
      </c>
      <c r="C23" s="3">
        <v>501</v>
      </c>
      <c r="D23" s="3">
        <v>85</v>
      </c>
      <c r="E23" s="3">
        <v>261</v>
      </c>
    </row>
    <row r="24" spans="1:5" x14ac:dyDescent="0.25">
      <c r="A24" s="2" t="s">
        <v>831</v>
      </c>
      <c r="B24" s="3">
        <v>220</v>
      </c>
      <c r="C24" s="3">
        <v>378</v>
      </c>
      <c r="D24" s="3">
        <v>150</v>
      </c>
      <c r="E24" s="3">
        <v>466</v>
      </c>
    </row>
    <row r="25" spans="1:5" x14ac:dyDescent="0.25">
      <c r="A25" s="2" t="s">
        <v>832</v>
      </c>
      <c r="B25" s="3">
        <v>190</v>
      </c>
      <c r="C25" s="3">
        <v>386</v>
      </c>
      <c r="D25" s="3">
        <v>164</v>
      </c>
      <c r="E25" s="3">
        <v>370</v>
      </c>
    </row>
    <row r="26" spans="1:5" x14ac:dyDescent="0.25">
      <c r="A26" s="2" t="s">
        <v>833</v>
      </c>
      <c r="B26" s="3">
        <v>215</v>
      </c>
      <c r="C26" s="3">
        <v>340</v>
      </c>
      <c r="D26" s="3">
        <v>152</v>
      </c>
      <c r="E26" s="3">
        <v>405</v>
      </c>
    </row>
    <row r="27" spans="1:5" x14ac:dyDescent="0.25">
      <c r="A27" s="2" t="s">
        <v>834</v>
      </c>
      <c r="B27" s="3">
        <v>194</v>
      </c>
      <c r="C27" s="3">
        <v>486</v>
      </c>
      <c r="D27" s="3">
        <v>197</v>
      </c>
      <c r="E27" s="3">
        <v>152</v>
      </c>
    </row>
    <row r="28" spans="1:5" x14ac:dyDescent="0.25">
      <c r="A28" s="2" t="s">
        <v>835</v>
      </c>
      <c r="B28" s="3">
        <v>192</v>
      </c>
      <c r="C28" s="3">
        <v>215</v>
      </c>
      <c r="D28" s="3">
        <v>146</v>
      </c>
      <c r="E28" s="3">
        <v>445</v>
      </c>
    </row>
    <row r="29" spans="1:5" x14ac:dyDescent="0.25">
      <c r="A29" s="2" t="s">
        <v>836</v>
      </c>
      <c r="B29" s="3">
        <v>168</v>
      </c>
      <c r="C29" s="3">
        <v>446</v>
      </c>
      <c r="D29" s="3">
        <v>70</v>
      </c>
      <c r="E29" s="3">
        <v>308</v>
      </c>
    </row>
    <row r="30" spans="1:5" x14ac:dyDescent="0.25">
      <c r="A30" s="2" t="s">
        <v>837</v>
      </c>
      <c r="B30" s="3">
        <v>153</v>
      </c>
      <c r="C30" s="3">
        <v>490</v>
      </c>
      <c r="D30" s="3">
        <v>70</v>
      </c>
      <c r="E30" s="3">
        <v>258</v>
      </c>
    </row>
    <row r="31" spans="1:5" x14ac:dyDescent="0.25">
      <c r="A31" s="3" t="s">
        <v>838</v>
      </c>
      <c r="B31" s="3">
        <v>195</v>
      </c>
      <c r="C31" s="3">
        <v>288</v>
      </c>
      <c r="D31" s="3">
        <v>114</v>
      </c>
      <c r="E31" s="3">
        <v>370</v>
      </c>
    </row>
    <row r="32" spans="1:5" x14ac:dyDescent="0.25">
      <c r="A32" s="3" t="s">
        <v>839</v>
      </c>
      <c r="B32" s="3">
        <v>194</v>
      </c>
      <c r="C32" s="3">
        <v>304</v>
      </c>
      <c r="D32" s="3">
        <v>135</v>
      </c>
      <c r="E32" s="3">
        <v>249</v>
      </c>
    </row>
    <row r="33" spans="1:5" x14ac:dyDescent="0.25">
      <c r="A33" s="3"/>
      <c r="B33" s="3"/>
      <c r="C33" s="3"/>
      <c r="D33" s="3"/>
      <c r="E33" s="3"/>
    </row>
    <row r="34" spans="1:5" x14ac:dyDescent="0.25">
      <c r="A34" s="1" t="s">
        <v>36</v>
      </c>
      <c r="B34" s="1">
        <f>SUM(B3:B33)</f>
        <v>5190</v>
      </c>
      <c r="C34" s="1">
        <f>SUM(C3:C33)</f>
        <v>11616</v>
      </c>
      <c r="D34" s="1">
        <f>SUM(D3:D33)</f>
        <v>3888</v>
      </c>
      <c r="E34" s="1">
        <f>SUM(E3:E33)</f>
        <v>10033</v>
      </c>
    </row>
  </sheetData>
  <mergeCells count="1">
    <mergeCell ref="A1:E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1411-03D0-43B1-BF4E-3EB64B991702}">
  <dimension ref="A1:E34"/>
  <sheetViews>
    <sheetView tabSelected="1" workbookViewId="0">
      <selection activeCell="M17" sqref="M17"/>
    </sheetView>
  </sheetViews>
  <sheetFormatPr defaultRowHeight="15" x14ac:dyDescent="0.25"/>
  <sheetData>
    <row r="1" spans="1:5" x14ac:dyDescent="0.25">
      <c r="A1" s="21">
        <v>46143</v>
      </c>
      <c r="B1" s="21"/>
      <c r="C1" s="21"/>
      <c r="D1" s="21"/>
      <c r="E1" s="2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840</v>
      </c>
      <c r="B3" s="3">
        <v>109</v>
      </c>
      <c r="C3" s="3">
        <v>192</v>
      </c>
      <c r="D3" s="3">
        <v>32</v>
      </c>
      <c r="E3" s="3">
        <v>191</v>
      </c>
    </row>
    <row r="4" spans="1:5" x14ac:dyDescent="0.25">
      <c r="A4" s="2" t="s">
        <v>841</v>
      </c>
      <c r="B4" s="3">
        <v>99</v>
      </c>
      <c r="C4" s="3">
        <v>337</v>
      </c>
      <c r="D4" s="3">
        <v>34</v>
      </c>
      <c r="E4" s="3">
        <v>71</v>
      </c>
    </row>
    <row r="5" spans="1:5" x14ac:dyDescent="0.25">
      <c r="A5" s="2" t="s">
        <v>842</v>
      </c>
      <c r="B5" s="3">
        <v>116</v>
      </c>
      <c r="C5" s="3">
        <v>115</v>
      </c>
      <c r="D5" s="3">
        <v>28</v>
      </c>
      <c r="E5" s="3">
        <v>188</v>
      </c>
    </row>
    <row r="6" spans="1:5" x14ac:dyDescent="0.25">
      <c r="A6" s="2" t="s">
        <v>843</v>
      </c>
      <c r="B6" s="3">
        <v>78</v>
      </c>
      <c r="C6" s="3">
        <v>370</v>
      </c>
      <c r="D6" s="3">
        <v>10</v>
      </c>
      <c r="E6" s="3">
        <v>124</v>
      </c>
    </row>
    <row r="7" spans="1:5" x14ac:dyDescent="0.25">
      <c r="A7" s="2" t="s">
        <v>844</v>
      </c>
      <c r="B7" s="3">
        <v>56</v>
      </c>
      <c r="C7" s="3">
        <v>347</v>
      </c>
      <c r="D7" s="3">
        <v>10</v>
      </c>
      <c r="E7" s="3">
        <v>92</v>
      </c>
    </row>
    <row r="8" spans="1:5" x14ac:dyDescent="0.25">
      <c r="A8" s="2" t="s">
        <v>845</v>
      </c>
      <c r="B8" s="3">
        <v>108</v>
      </c>
      <c r="C8" s="3">
        <v>185</v>
      </c>
      <c r="D8" s="3">
        <v>46</v>
      </c>
      <c r="E8" s="3">
        <v>154</v>
      </c>
    </row>
    <row r="9" spans="1:5" x14ac:dyDescent="0.25">
      <c r="A9" s="2" t="s">
        <v>846</v>
      </c>
      <c r="B9" s="3">
        <v>77</v>
      </c>
      <c r="C9" s="3">
        <v>155</v>
      </c>
      <c r="D9" s="3">
        <v>20</v>
      </c>
      <c r="E9" s="3">
        <v>57</v>
      </c>
    </row>
    <row r="10" spans="1:5" x14ac:dyDescent="0.25">
      <c r="A10" s="2" t="s">
        <v>847</v>
      </c>
      <c r="B10" s="3">
        <v>76</v>
      </c>
      <c r="C10" s="3">
        <v>170</v>
      </c>
      <c r="D10" s="3">
        <v>17</v>
      </c>
      <c r="E10" s="3">
        <v>87</v>
      </c>
    </row>
    <row r="11" spans="1:5" x14ac:dyDescent="0.25">
      <c r="A11" s="2" t="s">
        <v>848</v>
      </c>
      <c r="B11" s="3">
        <v>46</v>
      </c>
      <c r="C11" s="3">
        <v>149</v>
      </c>
      <c r="D11" s="3">
        <v>28</v>
      </c>
      <c r="E11" s="3">
        <v>37</v>
      </c>
    </row>
    <row r="12" spans="1:5" x14ac:dyDescent="0.25">
      <c r="A12" s="2" t="s">
        <v>849</v>
      </c>
      <c r="B12" s="3">
        <v>41</v>
      </c>
      <c r="C12" s="3">
        <v>75</v>
      </c>
      <c r="D12" s="3">
        <v>18</v>
      </c>
      <c r="E12" s="3">
        <v>108</v>
      </c>
    </row>
    <row r="13" spans="1:5" x14ac:dyDescent="0.25">
      <c r="A13" s="2" t="s">
        <v>850</v>
      </c>
      <c r="B13" s="3">
        <v>38</v>
      </c>
      <c r="C13" s="3">
        <v>151</v>
      </c>
      <c r="D13" s="3">
        <v>17</v>
      </c>
      <c r="E13" s="3">
        <v>79</v>
      </c>
    </row>
    <row r="14" spans="1:5" x14ac:dyDescent="0.25">
      <c r="A14" s="2" t="s">
        <v>851</v>
      </c>
      <c r="B14" s="3">
        <v>49</v>
      </c>
      <c r="C14" s="3">
        <v>169</v>
      </c>
      <c r="D14" s="3">
        <v>14</v>
      </c>
      <c r="E14" s="3">
        <v>71</v>
      </c>
    </row>
    <row r="15" spans="1:5" x14ac:dyDescent="0.25">
      <c r="A15" s="2" t="s">
        <v>852</v>
      </c>
      <c r="B15" s="3">
        <v>48</v>
      </c>
      <c r="C15" s="3">
        <v>114</v>
      </c>
      <c r="D15" s="3">
        <v>24</v>
      </c>
      <c r="E15" s="3">
        <v>94</v>
      </c>
    </row>
    <row r="16" spans="1:5" x14ac:dyDescent="0.25">
      <c r="A16" s="2" t="s">
        <v>853</v>
      </c>
      <c r="B16" s="3">
        <v>41</v>
      </c>
      <c r="C16" s="3">
        <v>124</v>
      </c>
      <c r="D16" s="3">
        <v>25</v>
      </c>
      <c r="E16" s="3">
        <v>58</v>
      </c>
    </row>
    <row r="17" spans="1:5" x14ac:dyDescent="0.25">
      <c r="A17" s="2" t="s">
        <v>854</v>
      </c>
      <c r="B17" s="3">
        <v>67</v>
      </c>
      <c r="C17" s="3">
        <v>105</v>
      </c>
      <c r="D17" s="3">
        <v>32</v>
      </c>
      <c r="E17" s="3">
        <v>75</v>
      </c>
    </row>
    <row r="18" spans="1:5" x14ac:dyDescent="0.25">
      <c r="A18" s="2" t="s">
        <v>855</v>
      </c>
      <c r="B18" s="3">
        <v>35</v>
      </c>
      <c r="C18" s="3">
        <v>118</v>
      </c>
      <c r="D18" s="3">
        <v>22</v>
      </c>
      <c r="E18" s="3">
        <v>37</v>
      </c>
    </row>
    <row r="19" spans="1:5" x14ac:dyDescent="0.25">
      <c r="A19" s="2" t="s">
        <v>856</v>
      </c>
      <c r="B19" s="3">
        <v>39</v>
      </c>
      <c r="C19" s="3">
        <v>65</v>
      </c>
      <c r="D19" s="3">
        <v>15</v>
      </c>
      <c r="E19" s="3">
        <v>80</v>
      </c>
    </row>
    <row r="20" spans="1:5" x14ac:dyDescent="0.25">
      <c r="A20" s="2" t="s">
        <v>857</v>
      </c>
      <c r="B20" s="3">
        <v>31</v>
      </c>
      <c r="C20" s="3">
        <v>138</v>
      </c>
      <c r="D20" s="3">
        <v>6</v>
      </c>
      <c r="E20" s="3">
        <v>72</v>
      </c>
    </row>
    <row r="21" spans="1:5" x14ac:dyDescent="0.25">
      <c r="A21" s="2" t="s">
        <v>858</v>
      </c>
      <c r="B21" s="3">
        <v>57</v>
      </c>
      <c r="C21" s="3">
        <v>139</v>
      </c>
      <c r="D21" s="3">
        <v>12</v>
      </c>
      <c r="E21" s="3">
        <v>79</v>
      </c>
    </row>
    <row r="22" spans="1:5" x14ac:dyDescent="0.25">
      <c r="A22" s="2" t="s">
        <v>859</v>
      </c>
      <c r="B22" s="3">
        <v>59</v>
      </c>
      <c r="C22" s="3">
        <v>112</v>
      </c>
      <c r="D22" s="3">
        <v>22</v>
      </c>
      <c r="E22" s="3">
        <v>119</v>
      </c>
    </row>
    <row r="23" spans="1:5" x14ac:dyDescent="0.25">
      <c r="A23" s="2" t="s">
        <v>860</v>
      </c>
      <c r="B23" s="3">
        <v>58</v>
      </c>
      <c r="C23" s="3">
        <v>121</v>
      </c>
      <c r="D23" s="3">
        <v>22</v>
      </c>
      <c r="E23" s="3">
        <v>79</v>
      </c>
    </row>
    <row r="24" spans="1:5" x14ac:dyDescent="0.25">
      <c r="A24" s="2" t="s">
        <v>861</v>
      </c>
      <c r="B24" s="3">
        <v>72</v>
      </c>
      <c r="C24" s="3">
        <v>106</v>
      </c>
      <c r="D24" s="3">
        <v>31</v>
      </c>
      <c r="E24" s="3">
        <v>87</v>
      </c>
    </row>
    <row r="25" spans="1:5" x14ac:dyDescent="0.25">
      <c r="A25" s="2" t="s">
        <v>862</v>
      </c>
      <c r="B25" s="3">
        <v>38</v>
      </c>
      <c r="C25" s="3">
        <v>128</v>
      </c>
      <c r="D25" s="3">
        <v>19</v>
      </c>
      <c r="E25" s="3">
        <v>41</v>
      </c>
    </row>
    <row r="26" spans="1:5" x14ac:dyDescent="0.25">
      <c r="A26" s="2" t="s">
        <v>863</v>
      </c>
      <c r="B26" s="3">
        <v>44</v>
      </c>
      <c r="C26" s="3">
        <v>63</v>
      </c>
      <c r="D26" s="3">
        <v>18</v>
      </c>
      <c r="E26" s="3">
        <v>91</v>
      </c>
    </row>
    <row r="27" spans="1:5" x14ac:dyDescent="0.25">
      <c r="A27" s="2" t="s">
        <v>864</v>
      </c>
      <c r="B27" s="3">
        <v>43</v>
      </c>
      <c r="C27" s="3">
        <v>146</v>
      </c>
      <c r="D27" s="3">
        <v>8</v>
      </c>
      <c r="E27" s="3">
        <v>89</v>
      </c>
    </row>
    <row r="28" spans="1:5" x14ac:dyDescent="0.25">
      <c r="A28" s="2" t="s">
        <v>865</v>
      </c>
      <c r="B28" s="3">
        <v>54</v>
      </c>
      <c r="C28" s="3">
        <v>147</v>
      </c>
      <c r="D28" s="3">
        <v>12</v>
      </c>
      <c r="E28" s="3">
        <v>69</v>
      </c>
    </row>
    <row r="29" spans="1:5" x14ac:dyDescent="0.25">
      <c r="A29" s="2" t="s">
        <v>866</v>
      </c>
      <c r="B29" s="3">
        <v>54</v>
      </c>
      <c r="C29" s="3">
        <v>120</v>
      </c>
      <c r="D29" s="3">
        <v>23</v>
      </c>
      <c r="E29" s="3">
        <v>106</v>
      </c>
    </row>
    <row r="30" spans="1:5" x14ac:dyDescent="0.25">
      <c r="A30" s="2" t="s">
        <v>867</v>
      </c>
      <c r="B30" s="3">
        <v>56</v>
      </c>
      <c r="C30" s="3">
        <v>95</v>
      </c>
      <c r="D30" s="3">
        <v>16</v>
      </c>
      <c r="E30" s="3">
        <v>91</v>
      </c>
    </row>
    <row r="31" spans="1:5" x14ac:dyDescent="0.25">
      <c r="A31" s="3" t="s">
        <v>868</v>
      </c>
      <c r="B31" s="3">
        <v>55</v>
      </c>
      <c r="C31" s="3">
        <v>99</v>
      </c>
      <c r="D31" s="3">
        <v>15</v>
      </c>
      <c r="E31" s="3">
        <v>100</v>
      </c>
    </row>
    <row r="32" spans="1:5" x14ac:dyDescent="0.25">
      <c r="A32" s="3" t="s">
        <v>869</v>
      </c>
      <c r="B32" s="3">
        <v>45</v>
      </c>
      <c r="C32" s="3">
        <v>135</v>
      </c>
      <c r="D32" s="3">
        <v>16</v>
      </c>
      <c r="E32" s="3">
        <v>38</v>
      </c>
    </row>
    <row r="33" spans="1:5" x14ac:dyDescent="0.25">
      <c r="A33" s="3" t="s">
        <v>870</v>
      </c>
      <c r="B33" s="3">
        <v>42</v>
      </c>
      <c r="C33" s="3">
        <v>60</v>
      </c>
      <c r="D33" s="3">
        <v>18</v>
      </c>
      <c r="E33" s="3">
        <v>94</v>
      </c>
    </row>
    <row r="34" spans="1:5" x14ac:dyDescent="0.25">
      <c r="A34" s="1" t="s">
        <v>36</v>
      </c>
      <c r="B34" s="1">
        <f>SUM(B3:B33)</f>
        <v>1831</v>
      </c>
      <c r="C34" s="1">
        <f>SUM(C3:C33)</f>
        <v>4550</v>
      </c>
      <c r="D34" s="1">
        <f>SUM(D3:D33)</f>
        <v>630</v>
      </c>
      <c r="E34" s="1">
        <f>SUM(E3:E33)</f>
        <v>2758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2026-07-04T04:13:32Z</dcterms:modified>
</cp:coreProperties>
</file>